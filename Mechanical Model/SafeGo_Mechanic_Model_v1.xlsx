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n\Downloads\"/>
    </mc:Choice>
  </mc:AlternateContent>
  <xr:revisionPtr revIDLastSave="0" documentId="13_ncr:1_{B222060A-1219-44E1-982F-EE3877E45DED}" xr6:coauthVersionLast="47" xr6:coauthVersionMax="47" xr10:uidLastSave="{00000000-0000-0000-0000-000000000000}"/>
  <bookViews>
    <workbookView xWindow="-120" yWindow="-120" windowWidth="29040" windowHeight="17520" xr2:uid="{462223A1-60EC-49A9-B2AB-19DC58960C3F}"/>
  </bookViews>
  <sheets>
    <sheet name="SafeGo_Model_v1" sheetId="45" r:id="rId1"/>
    <sheet name="check_later_nederboom" sheetId="4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45" l="1"/>
  <c r="U28" i="45"/>
  <c r="R28" i="45"/>
  <c r="U26" i="45"/>
  <c r="R26" i="45"/>
  <c r="O26" i="45"/>
  <c r="Q29" i="45"/>
  <c r="O28" i="45"/>
  <c r="L27" i="45"/>
  <c r="L26" i="45"/>
  <c r="N29" i="45"/>
  <c r="L29" i="45"/>
  <c r="L28" i="45"/>
  <c r="B46" i="45"/>
  <c r="B50" i="45"/>
  <c r="B36" i="45"/>
  <c r="B34" i="45"/>
  <c r="B47" i="45"/>
  <c r="R17" i="45"/>
  <c r="R18" i="45"/>
  <c r="Q18" i="45"/>
  <c r="Q17" i="45"/>
  <c r="P18" i="45"/>
  <c r="P17" i="45"/>
  <c r="L25" i="45"/>
  <c r="J21" i="45"/>
  <c r="J20" i="45"/>
  <c r="J19" i="45"/>
  <c r="I19" i="45"/>
  <c r="J18" i="45"/>
  <c r="I21" i="45"/>
  <c r="I20" i="45"/>
  <c r="I17" i="45"/>
  <c r="I16" i="45"/>
  <c r="R7" i="45"/>
  <c r="P7" i="45"/>
  <c r="R6" i="45"/>
  <c r="P6" i="45"/>
  <c r="R4" i="45"/>
  <c r="R3" i="45"/>
  <c r="P4" i="45"/>
  <c r="P3" i="45"/>
  <c r="L5" i="45"/>
  <c r="L3" i="45"/>
  <c r="L6" i="45"/>
  <c r="E9" i="45"/>
  <c r="E8" i="45"/>
  <c r="L7" i="45"/>
  <c r="L4" i="45"/>
  <c r="AJ2" i="45"/>
  <c r="B22" i="45"/>
  <c r="C47" i="45"/>
  <c r="C36" i="45"/>
  <c r="E10" i="45"/>
  <c r="B10" i="45"/>
  <c r="E7" i="45"/>
  <c r="B7" i="45"/>
  <c r="E6" i="45"/>
  <c r="E4" i="45"/>
  <c r="B5" i="45"/>
  <c r="W4" i="45" s="1"/>
  <c r="B21" i="45"/>
  <c r="Q17" i="44"/>
  <c r="B6" i="45"/>
  <c r="C21" i="45"/>
  <c r="C24" i="45" s="1"/>
  <c r="B17" i="45"/>
  <c r="C44" i="45"/>
  <c r="B44" i="45"/>
  <c r="C40" i="45"/>
  <c r="B40" i="45"/>
  <c r="C39" i="45"/>
  <c r="B39" i="45"/>
  <c r="C25" i="45"/>
  <c r="C19" i="45"/>
  <c r="B19" i="45"/>
  <c r="C17" i="45"/>
  <c r="B4" i="45"/>
  <c r="C44" i="44"/>
  <c r="B44" i="44"/>
  <c r="C40" i="44"/>
  <c r="B40" i="44"/>
  <c r="C39" i="44"/>
  <c r="B39" i="44"/>
  <c r="X38" i="44"/>
  <c r="X35" i="44"/>
  <c r="W35" i="44"/>
  <c r="C25" i="44"/>
  <c r="C21" i="44"/>
  <c r="C24" i="44" s="1"/>
  <c r="C28" i="44" s="1"/>
  <c r="C29" i="44" s="1"/>
  <c r="B21" i="44"/>
  <c r="C19" i="44"/>
  <c r="B19" i="44"/>
  <c r="C17" i="44"/>
  <c r="B17" i="44"/>
  <c r="B10" i="44"/>
  <c r="L4" i="44" s="1"/>
  <c r="B9" i="44"/>
  <c r="B7" i="44"/>
  <c r="B8" i="44" s="1"/>
  <c r="B6" i="44"/>
  <c r="B5" i="44"/>
  <c r="B4" i="44"/>
  <c r="B9" i="45" l="1"/>
  <c r="B8" i="45"/>
  <c r="B11" i="45"/>
  <c r="C28" i="45"/>
  <c r="C29" i="45" s="1"/>
  <c r="C58" i="44"/>
  <c r="C60" i="44" s="1"/>
  <c r="C52" i="44" s="1"/>
  <c r="C45" i="44"/>
  <c r="J20" i="44"/>
  <c r="L3" i="44"/>
  <c r="B11" i="44"/>
  <c r="B22" i="44" s="1"/>
  <c r="L6" i="44"/>
  <c r="L7" i="44" s="1"/>
  <c r="C30" i="44"/>
  <c r="C31" i="44" s="1"/>
  <c r="B24" i="44"/>
  <c r="B25" i="45" l="1"/>
  <c r="B24" i="45"/>
  <c r="B28" i="45"/>
  <c r="B29" i="45" s="1"/>
  <c r="C30" i="45"/>
  <c r="C31" i="45" s="1"/>
  <c r="C50" i="44"/>
  <c r="C46" i="44"/>
  <c r="C34" i="44"/>
  <c r="C32" i="44"/>
  <c r="C51" i="44" s="1"/>
  <c r="B25" i="44"/>
  <c r="B28" i="44" s="1"/>
  <c r="B29" i="44" s="1"/>
  <c r="B58" i="44"/>
  <c r="B60" i="44" s="1"/>
  <c r="B52" i="44" s="1"/>
  <c r="L5" i="44"/>
  <c r="O4" i="44" s="1"/>
  <c r="R4" i="44" s="1"/>
  <c r="C41" i="44"/>
  <c r="C34" i="45" l="1"/>
  <c r="AD12" i="45"/>
  <c r="B30" i="45"/>
  <c r="B31" i="45" s="1"/>
  <c r="C32" i="45"/>
  <c r="C41" i="45"/>
  <c r="J18" i="44"/>
  <c r="B45" i="44"/>
  <c r="N28" i="44" s="1"/>
  <c r="B30" i="44"/>
  <c r="B31" i="44" s="1"/>
  <c r="O6" i="44"/>
  <c r="R6" i="44" s="1"/>
  <c r="C48" i="44"/>
  <c r="J21" i="44"/>
  <c r="C66" i="44"/>
  <c r="C68" i="44" s="1"/>
  <c r="C61" i="44"/>
  <c r="C53" i="44"/>
  <c r="C55" i="44" s="1"/>
  <c r="C63" i="44"/>
  <c r="AD4" i="45" l="1"/>
  <c r="W12" i="45"/>
  <c r="B32" i="45"/>
  <c r="W8" i="45" s="1"/>
  <c r="W16" i="45" s="1"/>
  <c r="E5" i="45" s="1"/>
  <c r="E11" i="45" s="1"/>
  <c r="I18" i="45"/>
  <c r="C70" i="44"/>
  <c r="C72" i="44" s="1"/>
  <c r="B47" i="44"/>
  <c r="B46" i="44"/>
  <c r="B50" i="44"/>
  <c r="B36" i="44"/>
  <c r="K19" i="44" s="1"/>
  <c r="B32" i="44"/>
  <c r="B51" i="44" s="1"/>
  <c r="B34" i="44"/>
  <c r="J19" i="44" s="1"/>
  <c r="B41" i="44"/>
  <c r="J17" i="44" s="1"/>
  <c r="P18" i="44"/>
  <c r="P17" i="44"/>
  <c r="B41" i="45" l="1"/>
  <c r="I15" i="45" s="1"/>
  <c r="O28" i="44"/>
  <c r="I28" i="44"/>
  <c r="B67" i="44"/>
  <c r="Z29" i="44"/>
  <c r="B62" i="44"/>
  <c r="W28" i="44" s="1"/>
  <c r="B64" i="44"/>
  <c r="R28" i="44"/>
  <c r="Q18" i="44"/>
  <c r="R18" i="44"/>
  <c r="R17" i="44"/>
  <c r="AA28" i="44"/>
  <c r="B66" i="44"/>
  <c r="Q29" i="44"/>
  <c r="K29" i="44"/>
  <c r="B61" i="44"/>
  <c r="T28" i="44" s="1"/>
  <c r="W36" i="44" s="1"/>
  <c r="H29" i="44"/>
  <c r="B63" i="44"/>
  <c r="L28" i="44"/>
  <c r="B49" i="44" l="1"/>
  <c r="B54" i="44" s="1"/>
  <c r="B56" i="44" s="1"/>
  <c r="AA31" i="44"/>
  <c r="I31" i="44"/>
  <c r="B48" i="44"/>
  <c r="B53" i="44" s="1"/>
  <c r="B55" i="44" s="1"/>
  <c r="T30" i="44"/>
  <c r="B68" i="44"/>
  <c r="R31" i="44"/>
  <c r="B69" i="44"/>
  <c r="B71" i="44" s="1"/>
  <c r="B73" i="44" s="1"/>
  <c r="W29" i="44" s="1"/>
  <c r="W37" i="44" s="1"/>
  <c r="W30" i="44"/>
  <c r="W38" i="44" s="1"/>
  <c r="O31" i="45" l="1"/>
  <c r="B70" i="44"/>
  <c r="B72" i="44" s="1"/>
  <c r="T29" i="44" s="1"/>
  <c r="U28" i="44"/>
  <c r="X36" i="44" s="1"/>
  <c r="U29" i="44"/>
  <c r="U31" i="44" s="1"/>
  <c r="X29" i="44"/>
  <c r="X28" i="44"/>
  <c r="X31" i="44" l="1"/>
  <c r="X37" i="44"/>
</calcChain>
</file>

<file path=xl/sharedStrings.xml><?xml version="1.0" encoding="utf-8"?>
<sst xmlns="http://schemas.openxmlformats.org/spreadsheetml/2006/main" count="247" uniqueCount="143">
  <si>
    <t>t (mm)</t>
  </si>
  <si>
    <t>h (mm)</t>
  </si>
  <si>
    <t>b (mm)</t>
  </si>
  <si>
    <t>γ (kg/m3)</t>
  </si>
  <si>
    <t>CS</t>
  </si>
  <si>
    <t>t (m)</t>
  </si>
  <si>
    <t>h (m)</t>
  </si>
  <si>
    <t>b (m)</t>
  </si>
  <si>
    <t xml:space="preserve">g </t>
  </si>
  <si>
    <t>fw (MPa)</t>
  </si>
  <si>
    <t>ab</t>
  </si>
  <si>
    <t>at</t>
  </si>
  <si>
    <t>ζ</t>
  </si>
  <si>
    <t>h1/h</t>
  </si>
  <si>
    <t>h1 (mm)</t>
  </si>
  <si>
    <t>e (mm)</t>
  </si>
  <si>
    <t>Mi (Nmm)</t>
  </si>
  <si>
    <t>Vi (N)</t>
  </si>
  <si>
    <t>Fcr,iw + Fcr,ow + Fc</t>
  </si>
  <si>
    <t>1st phase</t>
  </si>
  <si>
    <t>2Ties</t>
  </si>
  <si>
    <t>Fo,iw + Fo,ow + Fc</t>
  </si>
  <si>
    <t xml:space="preserve">Fo,iw + Fo,ow </t>
  </si>
  <si>
    <t xml:space="preserve">Fo,iw </t>
  </si>
  <si>
    <t>β</t>
  </si>
  <si>
    <t>E (MPa)</t>
  </si>
  <si>
    <t>ucr (mm)</t>
  </si>
  <si>
    <t>uins (mm)</t>
  </si>
  <si>
    <t>K0</t>
  </si>
  <si>
    <t>a1 radian</t>
  </si>
  <si>
    <t>h2 (mm)</t>
  </si>
  <si>
    <t>a2 radian</t>
  </si>
  <si>
    <t>u1 mm</t>
  </si>
  <si>
    <t>u2 mm</t>
  </si>
  <si>
    <t>Fy</t>
  </si>
  <si>
    <t>b1</t>
  </si>
  <si>
    <t>Modelling one-way out-of-plane response of single-leaf and cavity walls</t>
  </si>
  <si>
    <t xml:space="preserve">PMRemp % </t>
  </si>
  <si>
    <t>ψ</t>
  </si>
  <si>
    <t xml:space="preserve">fj' </t>
  </si>
  <si>
    <t>Out-of-Plane Behavior of One-Way Spanning Unreinforced Masonry Walls</t>
  </si>
  <si>
    <t>Stage 1</t>
  </si>
  <si>
    <t>u</t>
  </si>
  <si>
    <t>F</t>
  </si>
  <si>
    <t>2 Ties</t>
  </si>
  <si>
    <t>Ties</t>
  </si>
  <si>
    <t>Mt</t>
  </si>
  <si>
    <t>Vt</t>
  </si>
  <si>
    <t>Fc (N)</t>
  </si>
  <si>
    <t xml:space="preserve">p </t>
  </si>
  <si>
    <t>u3 mm</t>
  </si>
  <si>
    <t>W (N-mm)</t>
  </si>
  <si>
    <t>O (N-mm)</t>
  </si>
  <si>
    <t>Mb (N)</t>
  </si>
  <si>
    <t>Mt (N)</t>
  </si>
  <si>
    <t>Fcr (N - mm)</t>
  </si>
  <si>
    <t>Fo (N-mm)</t>
  </si>
  <si>
    <t>Fc</t>
  </si>
  <si>
    <t>Fcr,iw</t>
  </si>
  <si>
    <t xml:space="preserve">Fo,ow </t>
  </si>
  <si>
    <t xml:space="preserve">Fcr,ow </t>
  </si>
  <si>
    <t>a3</t>
  </si>
  <si>
    <t xml:space="preserve">a1 </t>
  </si>
  <si>
    <t>a2</t>
  </si>
  <si>
    <t>I (mm3)</t>
  </si>
  <si>
    <t>slope</t>
  </si>
  <si>
    <t>Fo* (N-mm)</t>
  </si>
  <si>
    <t>e* (mm)</t>
  </si>
  <si>
    <t>uins* (mm)</t>
  </si>
  <si>
    <t>K0*</t>
  </si>
  <si>
    <t>e=0</t>
  </si>
  <si>
    <t>e=50</t>
  </si>
  <si>
    <t>Fy*</t>
  </si>
  <si>
    <t>b1*</t>
  </si>
  <si>
    <t>u1*</t>
  </si>
  <si>
    <t>u2*</t>
  </si>
  <si>
    <t>u3*</t>
  </si>
  <si>
    <t>a3*</t>
  </si>
  <si>
    <t>a2*</t>
  </si>
  <si>
    <t>uins</t>
  </si>
  <si>
    <t>RB Bi-linear e=t/2</t>
  </si>
  <si>
    <t>RB Bi-linear e=0</t>
  </si>
  <si>
    <t>Tri-linear e=t/2</t>
  </si>
  <si>
    <t>Tri-linear e=0</t>
  </si>
  <si>
    <t xml:space="preserve">Proposed tri-linear </t>
  </si>
  <si>
    <t>samira</t>
  </si>
  <si>
    <t>Fcr</t>
  </si>
  <si>
    <t>F0</t>
  </si>
  <si>
    <t>F0*</t>
  </si>
  <si>
    <t>RigidBlock4</t>
  </si>
  <si>
    <t>CS - Inner layer</t>
  </si>
  <si>
    <t>CB - Outer layer</t>
  </si>
  <si>
    <t>Joist (N-mm)</t>
  </si>
  <si>
    <t>Overburden Mpa</t>
  </si>
  <si>
    <t>Deadload kN</t>
  </si>
  <si>
    <t>Total (N-mm)</t>
  </si>
  <si>
    <t>W (kN)</t>
  </si>
  <si>
    <t>O (kN)</t>
  </si>
  <si>
    <t>Fw (kN)</t>
  </si>
  <si>
    <t>Fo (kN)</t>
  </si>
  <si>
    <t>upper</t>
  </si>
  <si>
    <t>lower</t>
  </si>
  <si>
    <t>a0</t>
  </si>
  <si>
    <t>C-US-3</t>
  </si>
  <si>
    <t>C-US-1 &amp; 
C-US-2</t>
  </si>
  <si>
    <t>casapulla</t>
  </si>
  <si>
    <t>Number of ties</t>
  </si>
  <si>
    <t>Overburden in MPa</t>
  </si>
  <si>
    <t>Deadload 
each timber floor in kN</t>
  </si>
  <si>
    <t>g m/s2</t>
  </si>
  <si>
    <t>from 
second timber floor
 as 
representing 
top joist</t>
  </si>
  <si>
    <t>heigh CS</t>
  </si>
  <si>
    <t>heigh CL</t>
  </si>
  <si>
    <t>CL</t>
  </si>
  <si>
    <t>timber</t>
  </si>
  <si>
    <t>from 
first timber floor &amp; above masonry
 as 
representing 
bottom joist</t>
  </si>
  <si>
    <t>upper floor</t>
  </si>
  <si>
    <t>lower floor</t>
  </si>
  <si>
    <t>O overburden as force (kN)</t>
  </si>
  <si>
    <t>this is removed because there is no side wall!!!!</t>
  </si>
  <si>
    <t>W upper part (kN)</t>
  </si>
  <si>
    <t>O overburden above bottom part (kN)</t>
  </si>
  <si>
    <t>Fo as friction force (kN)</t>
  </si>
  <si>
    <t>note= 3.84 divide two as consists of two edges</t>
  </si>
  <si>
    <t>W lower part (kN)</t>
  </si>
  <si>
    <t>Rocking and Kinematic Approaches for Rigid Block
Analysis of Masonry Walls: State of the Art and
Recent Developments</t>
  </si>
  <si>
    <t>F0 kN</t>
  </si>
  <si>
    <t>e 0</t>
  </si>
  <si>
    <t>e 50</t>
  </si>
  <si>
    <t xml:space="preserve">F0,iw_m </t>
  </si>
  <si>
    <t>I dont use it</t>
  </si>
  <si>
    <t xml:space="preserve">F0,ow </t>
  </si>
  <si>
    <t>F0,im_l</t>
  </si>
  <si>
    <t>F0,im_u</t>
  </si>
  <si>
    <t>F0,iw_m+F0,ow+F0,iw_l+F0,iw_u</t>
  </si>
  <si>
    <r>
      <rPr>
        <sz val="11"/>
        <color theme="1"/>
        <rFont val="GreekC"/>
      </rPr>
      <t>∆</t>
    </r>
    <r>
      <rPr>
        <sz val="9.9"/>
        <color theme="1"/>
        <rFont val="Calibri"/>
        <family val="2"/>
      </rPr>
      <t>i,RB</t>
    </r>
  </si>
  <si>
    <t>∆i,RB∆</t>
  </si>
  <si>
    <t>check this one it looks its not correct it comes from the first paper of Graziotti</t>
  </si>
  <si>
    <t>F*0,iw_m+F*0,ow+F*0,iw_l+F*0,iw_u</t>
  </si>
  <si>
    <t>F*0,iw_m+F*0,ow+F*0,iw_l+F*0,iw_u+Fc</t>
  </si>
  <si>
    <t>RB Mechanism</t>
  </si>
  <si>
    <t>RB* Mechanism</t>
  </si>
  <si>
    <t>RB*+Fc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</si>
</sst>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</font>
    <font>
      <sz val="11"/>
      <color theme="1"/>
      <name val="GreekC"/>
    </font>
    <font>
      <sz val="9.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4" fillId="4" borderId="0" xfId="0" applyFont="1" applyFill="1"/>
    <xf numFmtId="0" fontId="4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0" xfId="0" applyFont="1" applyFill="1" applyBorder="1"/>
    <xf numFmtId="0" fontId="6" fillId="0" borderId="8" xfId="0" applyFont="1" applyBorder="1" applyAlignment="1">
      <alignment horizontal="center" vertical="center"/>
    </xf>
    <xf numFmtId="0" fontId="3" fillId="2" borderId="7" xfId="0" applyFont="1" applyFill="1" applyBorder="1"/>
    <xf numFmtId="2" fontId="2" fillId="2" borderId="0" xfId="0" applyNumberFormat="1" applyFont="1" applyFill="1" applyBorder="1"/>
    <xf numFmtId="0" fontId="3" fillId="2" borderId="4" xfId="0" applyFont="1" applyFill="1" applyBorder="1"/>
    <xf numFmtId="2" fontId="2" fillId="2" borderId="5" xfId="0" applyNumberFormat="1" applyFont="1" applyFill="1" applyBorder="1"/>
    <xf numFmtId="0" fontId="6" fillId="0" borderId="6" xfId="0" applyFont="1" applyBorder="1" applyAlignment="1">
      <alignment horizontal="center" vertical="center"/>
    </xf>
    <xf numFmtId="0" fontId="8" fillId="5" borderId="1" xfId="0" applyFont="1" applyFill="1" applyBorder="1"/>
    <xf numFmtId="0" fontId="8" fillId="5" borderId="2" xfId="0" applyFont="1" applyFill="1" applyBorder="1"/>
    <xf numFmtId="0" fontId="8" fillId="5" borderId="7" xfId="0" applyFont="1" applyFill="1" applyBorder="1"/>
    <xf numFmtId="0" fontId="8" fillId="5" borderId="0" xfId="0" applyFont="1" applyFill="1" applyBorder="1"/>
    <xf numFmtId="0" fontId="9" fillId="5" borderId="7" xfId="0" applyFont="1" applyFill="1" applyBorder="1"/>
    <xf numFmtId="2" fontId="8" fillId="5" borderId="0" xfId="0" applyNumberFormat="1" applyFont="1" applyFill="1" applyBorder="1"/>
    <xf numFmtId="0" fontId="9" fillId="5" borderId="4" xfId="0" applyFont="1" applyFill="1" applyBorder="1"/>
    <xf numFmtId="2" fontId="8" fillId="5" borderId="5" xfId="0" applyNumberFormat="1" applyFont="1" applyFill="1" applyBorder="1"/>
    <xf numFmtId="0" fontId="0" fillId="5" borderId="2" xfId="0" applyFill="1" applyBorder="1"/>
    <xf numFmtId="0" fontId="0" fillId="5" borderId="0" xfId="0" applyFill="1"/>
    <xf numFmtId="0" fontId="6" fillId="0" borderId="0" xfId="0" applyFont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Stage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1"/>
          <c:order val="0"/>
          <c:marker>
            <c:symbol val="none"/>
          </c:marker>
          <c:xVal>
            <c:numRef>
              <c:f>SafeGo_Model_v1!$N$27:$N$29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77.47090606007184</c:v>
                </c:pt>
              </c:numCache>
            </c:numRef>
          </c:xVal>
          <c:yVal>
            <c:numRef>
              <c:f>SafeGo_Model_v1!$O$27:$O$29</c:f>
              <c:numCache>
                <c:formatCode>General</c:formatCode>
                <c:ptCount val="3"/>
                <c:pt idx="0">
                  <c:v>0</c:v>
                </c:pt>
                <c:pt idx="1">
                  <c:v>8.2626945855952663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EB-47D6-9046-A465FD960787}"/>
            </c:ext>
          </c:extLst>
        </c:ser>
        <c:ser>
          <c:idx val="7"/>
          <c:order val="1"/>
          <c:marker>
            <c:symbol val="none"/>
          </c:marker>
          <c:xVal>
            <c:numRef>
              <c:f>SafeGo_Model_v1!$Q$27:$Q$29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xVal>
          <c:yVal>
            <c:numRef>
              <c:f>SafeGo_Model_v1!$R$27:$R$29</c:f>
              <c:numCache>
                <c:formatCode>General</c:formatCode>
                <c:ptCount val="3"/>
                <c:pt idx="0">
                  <c:v>0</c:v>
                </c:pt>
                <c:pt idx="1">
                  <c:v>10.406316973071965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B-47D6-9046-A465FD960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783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004789818244"/>
          <c:y val="6.6635071090047404E-2"/>
          <c:w val="0.82774344136024691"/>
          <c:h val="0.82526411773279185"/>
        </c:manualLayout>
      </c:layout>
      <c:scatterChart>
        <c:scatterStyle val="lineMarker"/>
        <c:varyColors val="0"/>
        <c:ser>
          <c:idx val="11"/>
          <c:order val="0"/>
          <c:tx>
            <c:strRef>
              <c:f>SafeGo_Model_v1!$O$25</c:f>
              <c:strCache>
                <c:ptCount val="1"/>
                <c:pt idx="0">
                  <c:v>RB Mechanism</c:v>
                </c:pt>
              </c:strCache>
            </c:strRef>
          </c:tx>
          <c:marker>
            <c:symbol val="none"/>
          </c:marker>
          <c:xVal>
            <c:numRef>
              <c:f>SafeGo_Model_v1!$N$27:$N$29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77.47090606007184</c:v>
                </c:pt>
              </c:numCache>
            </c:numRef>
          </c:xVal>
          <c:yVal>
            <c:numRef>
              <c:f>SafeGo_Model_v1!$O$27:$O$29</c:f>
              <c:numCache>
                <c:formatCode>General</c:formatCode>
                <c:ptCount val="3"/>
                <c:pt idx="0">
                  <c:v>0</c:v>
                </c:pt>
                <c:pt idx="1">
                  <c:v>8.2626945855952663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F-47A7-8025-9EF7BB0921DB}"/>
            </c:ext>
          </c:extLst>
        </c:ser>
        <c:ser>
          <c:idx val="1"/>
          <c:order val="1"/>
          <c:tx>
            <c:strRef>
              <c:f>SafeGo_Model_v1!$U$25</c:f>
              <c:strCache>
                <c:ptCount val="1"/>
                <c:pt idx="0">
                  <c:v>RB*+Fc Mechanism</c:v>
                </c:pt>
              </c:strCache>
            </c:strRef>
          </c:tx>
          <c:marker>
            <c:symbol val="none"/>
          </c:marker>
          <c:xVal>
            <c:numRef>
              <c:f>SafeGo_Model_v1!$T$27:$T$29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xVal>
          <c:yVal>
            <c:numRef>
              <c:f>SafeGo_Model_v1!$U$27:$U$29</c:f>
              <c:numCache>
                <c:formatCode>General</c:formatCode>
                <c:ptCount val="3"/>
                <c:pt idx="0">
                  <c:v>0</c:v>
                </c:pt>
                <c:pt idx="1">
                  <c:v>11.615852475815446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F-47A7-8025-9EF7BB092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783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195018051419509"/>
          <c:y val="8.5585202323643195E-2"/>
          <c:w val="0.25716306310284731"/>
          <c:h val="0.3709780945628242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813827898675498"/>
          <c:y val="7.3327682896302773E-2"/>
          <c:w val="0.80012141426508865"/>
          <c:h val="0.825264117732791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SafeGo_Model_v1!$O$25</c:f>
              <c:strCache>
                <c:ptCount val="1"/>
                <c:pt idx="0">
                  <c:v>RB Mechanism</c:v>
                </c:pt>
              </c:strCache>
            </c:strRef>
          </c:tx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SafeGo_Model_v1!$N$27:$N$29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77.47090606007184</c:v>
                </c:pt>
              </c:numCache>
            </c:numRef>
          </c:xVal>
          <c:yVal>
            <c:numRef>
              <c:f>SafeGo_Model_v1!$O$27:$O$29</c:f>
              <c:numCache>
                <c:formatCode>General</c:formatCode>
                <c:ptCount val="3"/>
                <c:pt idx="0">
                  <c:v>0</c:v>
                </c:pt>
                <c:pt idx="1">
                  <c:v>8.2626945855952663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7F-47DC-9457-344322FAE344}"/>
            </c:ext>
          </c:extLst>
        </c:ser>
        <c:ser>
          <c:idx val="11"/>
          <c:order val="1"/>
          <c:tx>
            <c:strRef>
              <c:f>SafeGo_Model_v1!$R$25</c:f>
              <c:strCache>
                <c:ptCount val="1"/>
                <c:pt idx="0">
                  <c:v>RB* Mechanism</c:v>
                </c:pt>
              </c:strCache>
            </c:strRef>
          </c:tx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SafeGo_Model_v1!$Q$27:$Q$29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xVal>
          <c:yVal>
            <c:numRef>
              <c:f>SafeGo_Model_v1!$R$27:$R$29</c:f>
              <c:numCache>
                <c:formatCode>General</c:formatCode>
                <c:ptCount val="3"/>
                <c:pt idx="0">
                  <c:v>0</c:v>
                </c:pt>
                <c:pt idx="1">
                  <c:v>10.406316973071965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7F-47DC-9457-344322FAE344}"/>
            </c:ext>
          </c:extLst>
        </c:ser>
        <c:ser>
          <c:idx val="1"/>
          <c:order val="2"/>
          <c:tx>
            <c:strRef>
              <c:f>SafeGo_Model_v1!$U$25</c:f>
              <c:strCache>
                <c:ptCount val="1"/>
                <c:pt idx="0">
                  <c:v>RB*+Fc Mechanism</c:v>
                </c:pt>
              </c:strCache>
            </c:strRef>
          </c:tx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SafeGo_Model_v1!$T$27:$T$29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100</c:v>
                </c:pt>
              </c:numCache>
            </c:numRef>
          </c:xVal>
          <c:yVal>
            <c:numRef>
              <c:f>SafeGo_Model_v1!$U$27:$U$29</c:f>
              <c:numCache>
                <c:formatCode>General</c:formatCode>
                <c:ptCount val="3"/>
                <c:pt idx="0">
                  <c:v>0</c:v>
                </c:pt>
                <c:pt idx="1">
                  <c:v>11.615852475815446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7F-47DC-9457-344322FAE3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MHD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Force [kN]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783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248019667991001"/>
          <c:y val="5.2121680551225021E-2"/>
          <c:w val="0.37705884299010534"/>
          <c:h val="0.3709780945628242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 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1"/>
          <c:order val="0"/>
          <c:marker>
            <c:symbol val="none"/>
          </c:marker>
          <c:xVal>
            <c:numRef>
              <c:f>check_later_nederboom!$H$27:$H$29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77.123586281358953</c:v>
                </c:pt>
              </c:numCache>
            </c:numRef>
          </c:xVal>
          <c:yVal>
            <c:numRef>
              <c:f>check_later_nederboom!$I$27:$I$29</c:f>
              <c:numCache>
                <c:formatCode>General</c:formatCode>
                <c:ptCount val="3"/>
                <c:pt idx="0">
                  <c:v>0</c:v>
                </c:pt>
                <c:pt idx="1">
                  <c:v>9.5728168947214822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0-4438-8A91-D301484BC782}"/>
            </c:ext>
          </c:extLst>
        </c:ser>
        <c:ser>
          <c:idx val="7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check_later_nederboom!$T$27:$T$30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14.607684930590434</c:v>
                </c:pt>
                <c:pt idx="3">
                  <c:v>70.327664484713551</c:v>
                </c:pt>
              </c:numCache>
            </c:numRef>
          </c:xVal>
          <c:yVal>
            <c:numRef>
              <c:f>check_later_nederboom!$U$27:$U$30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5.4850807634652234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0-4438-8A91-D301484BC782}"/>
            </c:ext>
          </c:extLst>
        </c:ser>
        <c:ser>
          <c:idx val="0"/>
          <c:order val="2"/>
          <c:marker>
            <c:symbol val="none"/>
          </c:marker>
          <c:xVal>
            <c:numRef>
              <c:f>check_later_nederboom!$W$27:$W$30</c:f>
              <c:numCache>
                <c:formatCode>General</c:formatCode>
                <c:ptCount val="4"/>
                <c:pt idx="0">
                  <c:v>0</c:v>
                </c:pt>
                <c:pt idx="1">
                  <c:v>3.9999999999999996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check_later_nederboom!$X$27:$X$30</c:f>
              <c:numCache>
                <c:formatCode>General</c:formatCode>
                <c:ptCount val="4"/>
                <c:pt idx="0">
                  <c:v>0</c:v>
                </c:pt>
                <c:pt idx="1">
                  <c:v>7.1120665258677001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0-4438-8A91-D301484BC782}"/>
            </c:ext>
          </c:extLst>
        </c:ser>
        <c:ser>
          <c:idx val="1"/>
          <c:order val="3"/>
          <c:marker>
            <c:symbol val="none"/>
          </c:marker>
          <c:xVal>
            <c:numRef>
              <c:f>check_later_nederboom!$Z$27:$Z$29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99.999999999999986</c:v>
                </c:pt>
              </c:numCache>
            </c:numRef>
          </c:xVal>
          <c:yVal>
            <c:numRef>
              <c:f>check_later_nederboom!$AA$27:$AA$29</c:f>
              <c:numCache>
                <c:formatCode>General</c:formatCode>
                <c:ptCount val="3"/>
                <c:pt idx="0">
                  <c:v>0</c:v>
                </c:pt>
                <c:pt idx="1">
                  <c:v>11.824773514757693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30-4438-8A91-D301484BC782}"/>
            </c:ext>
          </c:extLst>
        </c:ser>
        <c:ser>
          <c:idx val="2"/>
          <c:order val="4"/>
          <c:marker>
            <c:symbol val="none"/>
          </c:marker>
          <c:xVal>
            <c:numRef>
              <c:f>check_later_nederboom!$W$35:$W$38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check_later_nederboom!$X$35:$X$38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30-4438-8A91-D301484B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783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004789818244"/>
          <c:y val="6.6635071090047404E-2"/>
          <c:w val="0.82774344136024691"/>
          <c:h val="0.82526411773279185"/>
        </c:manualLayout>
      </c:layout>
      <c:scatterChart>
        <c:scatterStyle val="lineMarker"/>
        <c:varyColors val="0"/>
        <c:ser>
          <c:idx val="11"/>
          <c:order val="0"/>
          <c:tx>
            <c:strRef>
              <c:f>check_later_nederboom!$R$25</c:f>
              <c:strCache>
                <c:ptCount val="1"/>
                <c:pt idx="0">
                  <c:v>RB Bi-linear e=0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check_later_nederboom!$Q$27:$Q$29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77.123586281358953</c:v>
                </c:pt>
              </c:numCache>
            </c:numRef>
          </c:xVal>
          <c:yVal>
            <c:numRef>
              <c:f>check_later_nederboom!$R$27:$R$29</c:f>
              <c:numCache>
                <c:formatCode>General</c:formatCode>
                <c:ptCount val="3"/>
                <c:pt idx="0">
                  <c:v>0</c:v>
                </c:pt>
                <c:pt idx="1">
                  <c:v>7.5920541053039461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3-4F79-99A5-DC5042503639}"/>
            </c:ext>
          </c:extLst>
        </c:ser>
        <c:ser>
          <c:idx val="1"/>
          <c:order val="1"/>
          <c:tx>
            <c:strRef>
              <c:f>check_later_nederboom!$AA$25</c:f>
              <c:strCache>
                <c:ptCount val="1"/>
                <c:pt idx="0">
                  <c:v>RB Bi-linear e=t/2</c:v>
                </c:pt>
              </c:strCache>
            </c:strRef>
          </c:tx>
          <c:spPr>
            <a:ln w="31750">
              <a:solidFill>
                <a:schemeClr val="tx2"/>
              </a:solidFill>
              <a:prstDash val="sysDot"/>
            </a:ln>
          </c:spPr>
          <c:marker>
            <c:symbol val="none"/>
          </c:marker>
          <c:xVal>
            <c:numRef>
              <c:f>check_later_nederboom!$Z$27:$Z$29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99.999999999999986</c:v>
                </c:pt>
              </c:numCache>
            </c:numRef>
          </c:xVal>
          <c:yVal>
            <c:numRef>
              <c:f>check_later_nederboom!$AA$27:$AA$29</c:f>
              <c:numCache>
                <c:formatCode>General</c:formatCode>
                <c:ptCount val="3"/>
                <c:pt idx="0">
                  <c:v>0</c:v>
                </c:pt>
                <c:pt idx="1">
                  <c:v>11.824773514757693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3-4F79-99A5-DC5042503639}"/>
            </c:ext>
          </c:extLst>
        </c:ser>
        <c:ser>
          <c:idx val="7"/>
          <c:order val="2"/>
          <c:tx>
            <c:strRef>
              <c:f>check_later_nederboom!$U$25</c:f>
              <c:strCache>
                <c:ptCount val="1"/>
                <c:pt idx="0">
                  <c:v>Tri-linear e=0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check_later_nederboom!$T$27:$T$30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14.607684930590434</c:v>
                </c:pt>
                <c:pt idx="3">
                  <c:v>70.327664484713551</c:v>
                </c:pt>
              </c:numCache>
            </c:numRef>
          </c:xVal>
          <c:yVal>
            <c:numRef>
              <c:f>check_later_nederboom!$U$27:$U$30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5.4850807634652234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03-4F79-99A5-DC5042503639}"/>
            </c:ext>
          </c:extLst>
        </c:ser>
        <c:ser>
          <c:idx val="0"/>
          <c:order val="3"/>
          <c:tx>
            <c:strRef>
              <c:f>check_later_nederboom!$X$25</c:f>
              <c:strCache>
                <c:ptCount val="1"/>
                <c:pt idx="0">
                  <c:v>Tri-linear e=t/2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check_later_nederboom!$W$27:$W$30</c:f>
              <c:numCache>
                <c:formatCode>General</c:formatCode>
                <c:ptCount val="4"/>
                <c:pt idx="0">
                  <c:v>0</c:v>
                </c:pt>
                <c:pt idx="1">
                  <c:v>3.9999999999999996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check_later_nederboom!$X$27:$X$30</c:f>
              <c:numCache>
                <c:formatCode>General</c:formatCode>
                <c:ptCount val="4"/>
                <c:pt idx="0">
                  <c:v>0</c:v>
                </c:pt>
                <c:pt idx="1">
                  <c:v>7.1120665258677001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03-4F79-99A5-DC5042503639}"/>
            </c:ext>
          </c:extLst>
        </c:ser>
        <c:ser>
          <c:idx val="2"/>
          <c:order val="4"/>
          <c:tx>
            <c:strRef>
              <c:f>check_later_nederboom!$X$34</c:f>
              <c:strCache>
                <c:ptCount val="1"/>
                <c:pt idx="0">
                  <c:v>Proposed tri-linear </c:v>
                </c:pt>
              </c:strCache>
            </c:strRef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check_later_nederboom!$W$35:$W$38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check_later_nederboom!$X$35:$X$38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03-4F79-99A5-DC504250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783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195018051419509"/>
          <c:y val="8.5585202323643195E-2"/>
          <c:w val="0.25716306310284731"/>
          <c:h val="0.3709780945628242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22255465081244"/>
          <c:y val="6.6635071090047404E-2"/>
          <c:w val="0.80012141426508865"/>
          <c:h val="0.82526411773279185"/>
        </c:manualLayout>
      </c:layout>
      <c:scatterChart>
        <c:scatterStyle val="lineMarker"/>
        <c:varyColors val="0"/>
        <c:ser>
          <c:idx val="11"/>
          <c:order val="0"/>
          <c:tx>
            <c:strRef>
              <c:f>check_later_nederboom!$R$25</c:f>
              <c:strCache>
                <c:ptCount val="1"/>
                <c:pt idx="0">
                  <c:v>RB Bi-linear e=0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check_later_nederboom!$Q$27:$Q$29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77.123586281358953</c:v>
                </c:pt>
              </c:numCache>
            </c:numRef>
          </c:xVal>
          <c:yVal>
            <c:numRef>
              <c:f>check_later_nederboom!$R$27:$R$29</c:f>
              <c:numCache>
                <c:formatCode>General</c:formatCode>
                <c:ptCount val="3"/>
                <c:pt idx="0">
                  <c:v>0</c:v>
                </c:pt>
                <c:pt idx="1">
                  <c:v>7.5920541053039461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9-4196-878B-5BD7599DE4AA}"/>
            </c:ext>
          </c:extLst>
        </c:ser>
        <c:ser>
          <c:idx val="1"/>
          <c:order val="1"/>
          <c:tx>
            <c:strRef>
              <c:f>check_later_nederboom!$AA$25</c:f>
              <c:strCache>
                <c:ptCount val="1"/>
                <c:pt idx="0">
                  <c:v>RB Bi-linear e=t/2</c:v>
                </c:pt>
              </c:strCache>
            </c:strRef>
          </c:tx>
          <c:spPr>
            <a:ln w="31750">
              <a:solidFill>
                <a:schemeClr val="tx2"/>
              </a:solidFill>
              <a:prstDash val="sysDot"/>
            </a:ln>
          </c:spPr>
          <c:marker>
            <c:symbol val="none"/>
          </c:marker>
          <c:xVal>
            <c:numRef>
              <c:f>check_later_nederboom!$Z$27:$Z$29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99.999999999999986</c:v>
                </c:pt>
              </c:numCache>
            </c:numRef>
          </c:xVal>
          <c:yVal>
            <c:numRef>
              <c:f>check_later_nederboom!$AA$27:$AA$29</c:f>
              <c:numCache>
                <c:formatCode>General</c:formatCode>
                <c:ptCount val="3"/>
                <c:pt idx="0">
                  <c:v>0</c:v>
                </c:pt>
                <c:pt idx="1">
                  <c:v>11.824773514757693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D9-4196-878B-5BD7599DE4AA}"/>
            </c:ext>
          </c:extLst>
        </c:ser>
        <c:ser>
          <c:idx val="7"/>
          <c:order val="2"/>
          <c:tx>
            <c:strRef>
              <c:f>check_later_nederboom!$U$25</c:f>
              <c:strCache>
                <c:ptCount val="1"/>
                <c:pt idx="0">
                  <c:v>Tri-linear e=0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check_later_nederboom!$T$27:$T$30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14.607684930590434</c:v>
                </c:pt>
                <c:pt idx="3">
                  <c:v>70.327664484713551</c:v>
                </c:pt>
              </c:numCache>
            </c:numRef>
          </c:xVal>
          <c:yVal>
            <c:numRef>
              <c:f>check_later_nederboom!$U$27:$U$30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5.4850807634652234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D9-4196-878B-5BD7599DE4AA}"/>
            </c:ext>
          </c:extLst>
        </c:ser>
        <c:ser>
          <c:idx val="0"/>
          <c:order val="3"/>
          <c:tx>
            <c:strRef>
              <c:f>check_later_nederboom!$X$25</c:f>
              <c:strCache>
                <c:ptCount val="1"/>
                <c:pt idx="0">
                  <c:v>Tri-linear e=t/2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check_later_nederboom!$W$27:$W$30</c:f>
              <c:numCache>
                <c:formatCode>General</c:formatCode>
                <c:ptCount val="4"/>
                <c:pt idx="0">
                  <c:v>0</c:v>
                </c:pt>
                <c:pt idx="1">
                  <c:v>3.9999999999999996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check_later_nederboom!$X$27:$X$30</c:f>
              <c:numCache>
                <c:formatCode>General</c:formatCode>
                <c:ptCount val="4"/>
                <c:pt idx="0">
                  <c:v>0</c:v>
                </c:pt>
                <c:pt idx="1">
                  <c:v>7.1120665258677001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D9-4196-878B-5BD7599DE4AA}"/>
            </c:ext>
          </c:extLst>
        </c:ser>
        <c:ser>
          <c:idx val="2"/>
          <c:order val="4"/>
          <c:tx>
            <c:strRef>
              <c:f>check_later_nederboom!$X$34</c:f>
              <c:strCache>
                <c:ptCount val="1"/>
                <c:pt idx="0">
                  <c:v>Proposed tri-linear </c:v>
                </c:pt>
              </c:strCache>
            </c:strRef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check_later_nederboom!$W$35:$W$38</c:f>
              <c:numCache>
                <c:formatCode>General</c:formatCode>
                <c:ptCount val="4"/>
                <c:pt idx="0">
                  <c:v>0</c:v>
                </c:pt>
                <c:pt idx="1">
                  <c:v>3.0849434512543583</c:v>
                </c:pt>
                <c:pt idx="2">
                  <c:v>20.956427075140869</c:v>
                </c:pt>
                <c:pt idx="3">
                  <c:v>93.204078203354584</c:v>
                </c:pt>
              </c:numCache>
            </c:numRef>
          </c:xVal>
          <c:yVal>
            <c:numRef>
              <c:f>check_later_nederboom!$X$35:$X$38</c:f>
              <c:numCache>
                <c:formatCode>General</c:formatCode>
                <c:ptCount val="4"/>
                <c:pt idx="0">
                  <c:v>0</c:v>
                </c:pt>
                <c:pt idx="1">
                  <c:v>5.4850807634652234</c:v>
                </c:pt>
                <c:pt idx="2">
                  <c:v>7.1120665258677001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D9-4196-878B-5BD7599DE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7839"/>
        <c:axId val="556648255"/>
      </c:scatterChart>
      <c:valAx>
        <c:axId val="55664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8255"/>
        <c:crosses val="autoZero"/>
        <c:crossBetween val="midCat"/>
      </c:valAx>
      <c:valAx>
        <c:axId val="556648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tailEnd type="triangle" w="lg" len="lg"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5664783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195018051419509"/>
          <c:y val="8.5585202323643195E-2"/>
          <c:w val="0.25716306310284731"/>
          <c:h val="0.3709780945628242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624416</xdr:colOff>
      <xdr:row>33</xdr:row>
      <xdr:rowOff>133350</xdr:rowOff>
    </xdr:from>
    <xdr:to>
      <xdr:col>16</xdr:col>
      <xdr:colOff>359833</xdr:colOff>
      <xdr:row>62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41999-37AB-4EA4-A00E-56320FB6E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516255</xdr:colOff>
      <xdr:row>33</xdr:row>
      <xdr:rowOff>183093</xdr:rowOff>
    </xdr:from>
    <xdr:to>
      <xdr:col>34</xdr:col>
      <xdr:colOff>147531</xdr:colOff>
      <xdr:row>56</xdr:row>
      <xdr:rowOff>36408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06704-EEE2-4A69-93A3-9D45B5F9F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455085</xdr:colOff>
      <xdr:row>32</xdr:row>
      <xdr:rowOff>43391</xdr:rowOff>
    </xdr:from>
    <xdr:to>
      <xdr:col>22</xdr:col>
      <xdr:colOff>296335</xdr:colOff>
      <xdr:row>62</xdr:row>
      <xdr:rowOff>21166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C35A84-EFE1-40F4-A7BA-15AE118FC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31</xdr:col>
      <xdr:colOff>200895</xdr:colOff>
      <xdr:row>5</xdr:row>
      <xdr:rowOff>31749</xdr:rowOff>
    </xdr:from>
    <xdr:to>
      <xdr:col>39</xdr:col>
      <xdr:colOff>562551</xdr:colOff>
      <xdr:row>27</xdr:row>
      <xdr:rowOff>189742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4CC024-3EB1-4833-4377-BD6EB2128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08395" y="984249"/>
          <a:ext cx="5272323" cy="438074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0.03682</cdr:x>
      <cdr:y>0.15687</cdr:y>
    </cdr:from>
    <cdr:to>
      <cdr:x>0.10753</cdr:x>
      <cdr:y>0.24929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B669CB-1A6B-47E2-BE11-A77B417A3C8F}"/>
            </a:ext>
          </a:extLst>
        </cdr:cNvPr>
        <cdr:cNvSpPr txBox="1"/>
      </cdr:nvSpPr>
      <cdr:spPr>
        <a:xfrm xmlns:a="http://schemas.openxmlformats.org/drawingml/2006/main">
          <a:off x="287655" y="630555"/>
          <a:ext cx="5524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0.00951</cdr:x>
      <cdr:y>0.16161</cdr:y>
    </cdr:from>
    <cdr:to>
      <cdr:x>0.11973</cdr:x>
      <cdr:y>0.26114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B82A523-F6B9-4246-95AD-793990BA94B4}"/>
            </a:ext>
          </a:extLst>
        </cdr:cNvPr>
        <cdr:cNvSpPr txBox="1"/>
      </cdr:nvSpPr>
      <cdr:spPr>
        <a:xfrm xmlns:a="http://schemas.openxmlformats.org/drawingml/2006/main">
          <a:off x="74295" y="649297"/>
          <a:ext cx="861515" cy="399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Fo*(e=t/2)</a:t>
          </a:r>
        </a:p>
      </cdr:txBody>
    </cdr:sp>
  </cdr:relSizeAnchor>
  <cdr:relSizeAnchor xmlns:cdr="http://schemas.openxmlformats.org/drawingml/2006/chartDrawing">
    <cdr:from>
      <cdr:x>0.0126</cdr:x>
      <cdr:y>0.30215</cdr:y>
    </cdr:from>
    <cdr:to>
      <cdr:x>0.11623</cdr:x>
      <cdr:y>0.40168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03A5FA2-7112-4207-BA66-CA2B12132EAE}"/>
            </a:ext>
          </a:extLst>
        </cdr:cNvPr>
        <cdr:cNvSpPr txBox="1"/>
      </cdr:nvSpPr>
      <cdr:spPr>
        <a:xfrm xmlns:a="http://schemas.openxmlformats.org/drawingml/2006/main">
          <a:off x="98492" y="1213929"/>
          <a:ext cx="810019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Fo(e=0)</a:t>
          </a:r>
        </a:p>
      </cdr:txBody>
    </cdr:sp>
  </cdr:relSizeAnchor>
  <cdr:relSizeAnchor xmlns:cdr="http://schemas.openxmlformats.org/drawingml/2006/chartDrawing">
    <cdr:from>
      <cdr:x>0.01194</cdr:x>
      <cdr:y>0.36861</cdr:y>
    </cdr:from>
    <cdr:to>
      <cdr:x>0.12233</cdr:x>
      <cdr:y>0.46814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55CA48A-147F-42E2-B395-FACC24C7A1CB}"/>
            </a:ext>
          </a:extLst>
        </cdr:cNvPr>
        <cdr:cNvSpPr txBox="1"/>
      </cdr:nvSpPr>
      <cdr:spPr>
        <a:xfrm xmlns:a="http://schemas.openxmlformats.org/drawingml/2006/main">
          <a:off x="93345" y="1480954"/>
          <a:ext cx="862796" cy="399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Fy*(e=t/2)</a:t>
          </a:r>
        </a:p>
      </cdr:txBody>
    </cdr:sp>
  </cdr:relSizeAnchor>
  <cdr:relSizeAnchor xmlns:cdr="http://schemas.openxmlformats.org/drawingml/2006/chartDrawing">
    <cdr:from>
      <cdr:x>0.01382</cdr:x>
      <cdr:y>0.46591</cdr:y>
    </cdr:from>
    <cdr:to>
      <cdr:x>0.11745</cdr:x>
      <cdr:y>0.56543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5C21EDA-C4F8-4784-B49D-6E2D7A5BE298}"/>
            </a:ext>
          </a:extLst>
        </cdr:cNvPr>
        <cdr:cNvSpPr txBox="1"/>
      </cdr:nvSpPr>
      <cdr:spPr>
        <a:xfrm xmlns:a="http://schemas.openxmlformats.org/drawingml/2006/main">
          <a:off x="108021" y="1871850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Fy(e=0)</a:t>
          </a:r>
        </a:p>
      </cdr:txBody>
    </cdr:sp>
  </cdr:relSizeAnchor>
  <cdr:relSizeAnchor xmlns:cdr="http://schemas.openxmlformats.org/drawingml/2006/chartDrawing">
    <cdr:from>
      <cdr:x>0.12111</cdr:x>
      <cdr:y>0.90047</cdr:y>
    </cdr:from>
    <cdr:to>
      <cdr:x>0.22475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07C0865-646C-45E1-8467-98ED14ABC115}"/>
            </a:ext>
          </a:extLst>
        </cdr:cNvPr>
        <cdr:cNvSpPr txBox="1"/>
      </cdr:nvSpPr>
      <cdr:spPr>
        <a:xfrm xmlns:a="http://schemas.openxmlformats.org/drawingml/2006/main">
          <a:off x="946658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cdr:txBody>
    </cdr:sp>
  </cdr:relSizeAnchor>
  <cdr:relSizeAnchor xmlns:cdr="http://schemas.openxmlformats.org/drawingml/2006/chartDrawing">
    <cdr:from>
      <cdr:x>0.26485</cdr:x>
      <cdr:y>0.90047</cdr:y>
    </cdr:from>
    <cdr:to>
      <cdr:x>0.36848</cdr:x>
      <cdr:y>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1192C31-1952-4ADB-9F8D-A2CA13814A6B}"/>
            </a:ext>
          </a:extLst>
        </cdr:cNvPr>
        <cdr:cNvSpPr txBox="1"/>
      </cdr:nvSpPr>
      <cdr:spPr>
        <a:xfrm xmlns:a="http://schemas.openxmlformats.org/drawingml/2006/main">
          <a:off x="207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cdr:txBody>
    </cdr:sp>
  </cdr:relSizeAnchor>
  <cdr:relSizeAnchor xmlns:cdr="http://schemas.openxmlformats.org/drawingml/2006/chartDrawing">
    <cdr:from>
      <cdr:x>0.7523</cdr:x>
      <cdr:y>0.90047</cdr:y>
    </cdr:from>
    <cdr:to>
      <cdr:x>0.85593</cdr:x>
      <cdr:y>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6ADDBCB-CEEE-4D96-879B-648CDE3FB045}"/>
            </a:ext>
          </a:extLst>
        </cdr:cNvPr>
        <cdr:cNvSpPr txBox="1"/>
      </cdr:nvSpPr>
      <cdr:spPr>
        <a:xfrm xmlns:a="http://schemas.openxmlformats.org/drawingml/2006/main">
          <a:off x="588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0.03682</cdr:x>
      <cdr:y>0.15687</cdr:y>
    </cdr:from>
    <cdr:to>
      <cdr:x>0.10753</cdr:x>
      <cdr:y>0.24929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B669CB-1A6B-47E2-BE11-A77B417A3C8F}"/>
            </a:ext>
          </a:extLst>
        </cdr:cNvPr>
        <cdr:cNvSpPr txBox="1"/>
      </cdr:nvSpPr>
      <cdr:spPr>
        <a:xfrm xmlns:a="http://schemas.openxmlformats.org/drawingml/2006/main">
          <a:off x="287655" y="630555"/>
          <a:ext cx="5524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0.00982</cdr:x>
      <cdr:y>0.34491</cdr:y>
    </cdr:from>
    <cdr:to>
      <cdr:x>0.17441</cdr:x>
      <cdr:y>0.44444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03A5FA2-7112-4207-BA66-CA2B12132EAE}"/>
            </a:ext>
          </a:extLst>
        </cdr:cNvPr>
        <cdr:cNvSpPr txBox="1"/>
      </cdr:nvSpPr>
      <cdr:spPr>
        <a:xfrm xmlns:a="http://schemas.openxmlformats.org/drawingml/2006/main">
          <a:off x="111948" y="1963489"/>
          <a:ext cx="1877083" cy="566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0,iw_m</a:t>
          </a:r>
          <a:r>
            <a:rPr lang="en-US" sz="12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0,iw_u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2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0,ow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0.03682</cdr:x>
      <cdr:y>0.15687</cdr:y>
    </cdr:from>
    <cdr:to>
      <cdr:x>0.10753</cdr:x>
      <cdr:y>0.24929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F8B669CB-1A6B-47E2-BE11-A77B417A3C8F}"/>
            </a:ext>
          </a:extLst>
        </cdr:cNvPr>
        <cdr:cNvSpPr txBox="1"/>
      </cdr:nvSpPr>
      <cdr:spPr>
        <a:xfrm xmlns:a="http://schemas.openxmlformats.org/drawingml/2006/main">
          <a:off x="287655" y="630555"/>
          <a:ext cx="5524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0.15417</cdr:y>
    </cdr:from>
    <cdr:to>
      <cdr:x>0.19356</cdr:x>
      <cdr:y>0.2537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6B82A523-F6B9-4246-95AD-793990BA94B4}"/>
            </a:ext>
          </a:extLst>
        </cdr:cNvPr>
        <cdr:cNvSpPr txBox="1"/>
      </cdr:nvSpPr>
      <cdr:spPr>
        <a:xfrm xmlns:a="http://schemas.openxmlformats.org/drawingml/2006/main">
          <a:off x="0" y="877676"/>
          <a:ext cx="2357786" cy="566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0,iw_m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0,iw_l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0,iw_u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0,ow</a:t>
          </a:r>
          <a:endParaRPr lang="en-NL" sz="1200">
            <a:effectLst/>
          </a:endParaRPr>
        </a:p>
        <a:p xmlns:a="http://schemas.openxmlformats.org/drawingml/2006/main"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0.00782</cdr:x>
      <cdr:y>0.22035</cdr:y>
    </cdr:from>
    <cdr:to>
      <cdr:x>0.17719</cdr:x>
      <cdr:y>0.31988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C03A5FA2-7112-4207-BA66-CA2B12132EAE}"/>
            </a:ext>
          </a:extLst>
        </cdr:cNvPr>
        <cdr:cNvSpPr txBox="1"/>
      </cdr:nvSpPr>
      <cdr:spPr>
        <a:xfrm xmlns:a="http://schemas.openxmlformats.org/drawingml/2006/main">
          <a:off x="95250" y="1254405"/>
          <a:ext cx="2063176" cy="566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0,iw_m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0,iw_l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0,iw_u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+ </a:t>
          </a:r>
          <a:r>
            <a:rPr lang="en-US" sz="1100">
              <a:effectLst/>
              <a:latin typeface="+mn-lt"/>
              <a:ea typeface="+mn-ea"/>
              <a:cs typeface="+mn-cs"/>
            </a:rPr>
            <a:t>F*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0,ow</a:t>
          </a:r>
          <a:endParaRPr lang="en-NL">
            <a:effectLst/>
          </a:endParaRPr>
        </a:p>
      </cdr:txBody>
    </cdr:sp>
  </cdr:relSizeAnchor>
  <cdr:relSizeAnchor xmlns:cdr="http://schemas.openxmlformats.org/drawingml/2006/chartDrawing">
    <cdr:from>
      <cdr:x>0.69793</cdr:x>
      <cdr:y>0.90047</cdr:y>
    </cdr:from>
    <cdr:to>
      <cdr:x>0.80156</cdr:x>
      <cdr:y>1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1192C31-1952-4ADB-9F8D-A2CA13814A6B}"/>
            </a:ext>
          </a:extLst>
        </cdr:cNvPr>
        <cdr:cNvSpPr txBox="1"/>
      </cdr:nvSpPr>
      <cdr:spPr>
        <a:xfrm xmlns:a="http://schemas.openxmlformats.org/drawingml/2006/main">
          <a:off x="8501741" y="5126173"/>
          <a:ext cx="1262360" cy="566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effectLst/>
              <a:latin typeface="+mn-lt"/>
              <a:ea typeface="+mn-ea"/>
              <a:cs typeface="+mn-cs"/>
            </a:rPr>
            <a:t>u</a:t>
          </a:r>
          <a:r>
            <a:rPr lang="en-US" sz="1100" baseline="-25000">
              <a:effectLst/>
              <a:latin typeface="+mn-lt"/>
              <a:ea typeface="+mn-ea"/>
              <a:cs typeface="+mn-cs"/>
            </a:rPr>
            <a:t>ins</a:t>
          </a:r>
          <a:endParaRPr lang="en-US" sz="1200" baseline="-25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0.85484</cdr:x>
      <cdr:y>0.90047</cdr:y>
    </cdr:from>
    <cdr:to>
      <cdr:x>0.95847</cdr:x>
      <cdr:y>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86ADDBCB-CEEE-4D96-879B-648CDE3FB045}"/>
            </a:ext>
          </a:extLst>
        </cdr:cNvPr>
        <cdr:cNvSpPr txBox="1"/>
      </cdr:nvSpPr>
      <cdr:spPr>
        <a:xfrm xmlns:a="http://schemas.openxmlformats.org/drawingml/2006/main">
          <a:off x="10413112" y="5126173"/>
          <a:ext cx="1262360" cy="5666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u*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ins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34</xdr:row>
      <xdr:rowOff>38100</xdr:rowOff>
    </xdr:from>
    <xdr:to>
      <xdr:col>19</xdr:col>
      <xdr:colOff>28575</xdr:colOff>
      <xdr:row>56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5D495-EE97-432D-AB52-53CDEBEB7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40005</xdr:colOff>
      <xdr:row>38</xdr:row>
      <xdr:rowOff>161925</xdr:rowOff>
    </xdr:from>
    <xdr:to>
      <xdr:col>32</xdr:col>
      <xdr:colOff>539115</xdr:colOff>
      <xdr:row>61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6646C2-E9AC-4B0D-AC7B-6AF752CEC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57150</xdr:colOff>
      <xdr:row>56</xdr:row>
      <xdr:rowOff>85725</xdr:rowOff>
    </xdr:from>
    <xdr:to>
      <xdr:col>19</xdr:col>
      <xdr:colOff>1905</xdr:colOff>
      <xdr:row>78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B9646-4B53-4888-9514-CF8DA03D1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0.03682</cdr:x>
      <cdr:y>0.15687</cdr:y>
    </cdr:from>
    <cdr:to>
      <cdr:x>0.10753</cdr:x>
      <cdr:y>0.24929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B669CB-1A6B-47E2-BE11-A77B417A3C8F}"/>
            </a:ext>
          </a:extLst>
        </cdr:cNvPr>
        <cdr:cNvSpPr txBox="1"/>
      </cdr:nvSpPr>
      <cdr:spPr>
        <a:xfrm xmlns:a="http://schemas.openxmlformats.org/drawingml/2006/main">
          <a:off x="287655" y="630555"/>
          <a:ext cx="5524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0.00951</cdr:x>
      <cdr:y>0.16161</cdr:y>
    </cdr:from>
    <cdr:to>
      <cdr:x>0.11973</cdr:x>
      <cdr:y>0.26114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B82A523-F6B9-4246-95AD-793990BA94B4}"/>
            </a:ext>
          </a:extLst>
        </cdr:cNvPr>
        <cdr:cNvSpPr txBox="1"/>
      </cdr:nvSpPr>
      <cdr:spPr>
        <a:xfrm xmlns:a="http://schemas.openxmlformats.org/drawingml/2006/main">
          <a:off x="74295" y="649297"/>
          <a:ext cx="861515" cy="399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Fo*(e=t/2)</a:t>
          </a:r>
        </a:p>
      </cdr:txBody>
    </cdr:sp>
  </cdr:relSizeAnchor>
  <cdr:relSizeAnchor xmlns:cdr="http://schemas.openxmlformats.org/drawingml/2006/chartDrawing">
    <cdr:from>
      <cdr:x>0.0126</cdr:x>
      <cdr:y>0.30215</cdr:y>
    </cdr:from>
    <cdr:to>
      <cdr:x>0.11623</cdr:x>
      <cdr:y>0.40168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03A5FA2-7112-4207-BA66-CA2B12132EAE}"/>
            </a:ext>
          </a:extLst>
        </cdr:cNvPr>
        <cdr:cNvSpPr txBox="1"/>
      </cdr:nvSpPr>
      <cdr:spPr>
        <a:xfrm xmlns:a="http://schemas.openxmlformats.org/drawingml/2006/main">
          <a:off x="98492" y="1213929"/>
          <a:ext cx="810019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Fo(e=0)</a:t>
          </a:r>
        </a:p>
      </cdr:txBody>
    </cdr:sp>
  </cdr:relSizeAnchor>
  <cdr:relSizeAnchor xmlns:cdr="http://schemas.openxmlformats.org/drawingml/2006/chartDrawing">
    <cdr:from>
      <cdr:x>0.01194</cdr:x>
      <cdr:y>0.36861</cdr:y>
    </cdr:from>
    <cdr:to>
      <cdr:x>0.12233</cdr:x>
      <cdr:y>0.46814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55CA48A-147F-42E2-B395-FACC24C7A1CB}"/>
            </a:ext>
          </a:extLst>
        </cdr:cNvPr>
        <cdr:cNvSpPr txBox="1"/>
      </cdr:nvSpPr>
      <cdr:spPr>
        <a:xfrm xmlns:a="http://schemas.openxmlformats.org/drawingml/2006/main">
          <a:off x="93345" y="1480954"/>
          <a:ext cx="862796" cy="399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Fy*(e=t/2)</a:t>
          </a:r>
        </a:p>
      </cdr:txBody>
    </cdr:sp>
  </cdr:relSizeAnchor>
  <cdr:relSizeAnchor xmlns:cdr="http://schemas.openxmlformats.org/drawingml/2006/chartDrawing">
    <cdr:from>
      <cdr:x>0.01382</cdr:x>
      <cdr:y>0.46591</cdr:y>
    </cdr:from>
    <cdr:to>
      <cdr:x>0.11745</cdr:x>
      <cdr:y>0.56543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5C21EDA-C4F8-4784-B49D-6E2D7A5BE298}"/>
            </a:ext>
          </a:extLst>
        </cdr:cNvPr>
        <cdr:cNvSpPr txBox="1"/>
      </cdr:nvSpPr>
      <cdr:spPr>
        <a:xfrm xmlns:a="http://schemas.openxmlformats.org/drawingml/2006/main">
          <a:off x="108021" y="1871850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Fy(e=0)</a:t>
          </a:r>
        </a:p>
      </cdr:txBody>
    </cdr:sp>
  </cdr:relSizeAnchor>
  <cdr:relSizeAnchor xmlns:cdr="http://schemas.openxmlformats.org/drawingml/2006/chartDrawing">
    <cdr:from>
      <cdr:x>0.12111</cdr:x>
      <cdr:y>0.90047</cdr:y>
    </cdr:from>
    <cdr:to>
      <cdr:x>0.22475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07C0865-646C-45E1-8467-98ED14ABC115}"/>
            </a:ext>
          </a:extLst>
        </cdr:cNvPr>
        <cdr:cNvSpPr txBox="1"/>
      </cdr:nvSpPr>
      <cdr:spPr>
        <a:xfrm xmlns:a="http://schemas.openxmlformats.org/drawingml/2006/main">
          <a:off x="946658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cdr:txBody>
    </cdr:sp>
  </cdr:relSizeAnchor>
  <cdr:relSizeAnchor xmlns:cdr="http://schemas.openxmlformats.org/drawingml/2006/chartDrawing">
    <cdr:from>
      <cdr:x>0.26485</cdr:x>
      <cdr:y>0.90047</cdr:y>
    </cdr:from>
    <cdr:to>
      <cdr:x>0.36848</cdr:x>
      <cdr:y>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1192C31-1952-4ADB-9F8D-A2CA13814A6B}"/>
            </a:ext>
          </a:extLst>
        </cdr:cNvPr>
        <cdr:cNvSpPr txBox="1"/>
      </cdr:nvSpPr>
      <cdr:spPr>
        <a:xfrm xmlns:a="http://schemas.openxmlformats.org/drawingml/2006/main">
          <a:off x="207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cdr:txBody>
    </cdr:sp>
  </cdr:relSizeAnchor>
  <cdr:relSizeAnchor xmlns:cdr="http://schemas.openxmlformats.org/drawingml/2006/chartDrawing">
    <cdr:from>
      <cdr:x>0.7523</cdr:x>
      <cdr:y>0.90047</cdr:y>
    </cdr:from>
    <cdr:to>
      <cdr:x>0.85593</cdr:x>
      <cdr:y>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6ADDBCB-CEEE-4D96-879B-648CDE3FB045}"/>
            </a:ext>
          </a:extLst>
        </cdr:cNvPr>
        <cdr:cNvSpPr txBox="1"/>
      </cdr:nvSpPr>
      <cdr:spPr>
        <a:xfrm xmlns:a="http://schemas.openxmlformats.org/drawingml/2006/main">
          <a:off x="588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0.03682</cdr:x>
      <cdr:y>0.15687</cdr:y>
    </cdr:from>
    <cdr:to>
      <cdr:x>0.10753</cdr:x>
      <cdr:y>0.24929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B669CB-1A6B-47E2-BE11-A77B417A3C8F}"/>
            </a:ext>
          </a:extLst>
        </cdr:cNvPr>
        <cdr:cNvSpPr txBox="1"/>
      </cdr:nvSpPr>
      <cdr:spPr>
        <a:xfrm xmlns:a="http://schemas.openxmlformats.org/drawingml/2006/main">
          <a:off x="287655" y="630555"/>
          <a:ext cx="5524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0.00951</cdr:x>
      <cdr:y>0.16161</cdr:y>
    </cdr:from>
    <cdr:to>
      <cdr:x>0.1979</cdr:x>
      <cdr:y>0.26114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B82A523-F6B9-4246-95AD-793990BA94B4}"/>
            </a:ext>
          </a:extLst>
        </cdr:cNvPr>
        <cdr:cNvSpPr txBox="1"/>
      </cdr:nvSpPr>
      <cdr:spPr>
        <a:xfrm xmlns:a="http://schemas.openxmlformats.org/drawingml/2006/main">
          <a:off x="74332" y="649292"/>
          <a:ext cx="1472528" cy="399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+F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o,iw</a:t>
          </a:r>
          <a:r>
            <a:rPr lang="en-US" sz="1200" baseline="30000">
              <a:latin typeface="Times New Roman" panose="02020603050405020304" pitchFamily="18" charset="0"/>
              <a:cs typeface="Times New Roman" panose="02020603050405020304" pitchFamily="18" charset="0"/>
            </a:rPr>
            <a:t>*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+</a:t>
          </a:r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o,ow</a:t>
          </a:r>
          <a:r>
            <a:rPr lang="en-US" sz="1200" baseline="30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0.0126</cdr:x>
      <cdr:y>0.30215</cdr:y>
    </cdr:from>
    <cdr:to>
      <cdr:x>0.17719</cdr:x>
      <cdr:y>0.40168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C03A5FA2-7112-4207-BA66-CA2B12132EAE}"/>
            </a:ext>
          </a:extLst>
        </cdr:cNvPr>
        <cdr:cNvSpPr txBox="1"/>
      </cdr:nvSpPr>
      <cdr:spPr>
        <a:xfrm xmlns:a="http://schemas.openxmlformats.org/drawingml/2006/main">
          <a:off x="98483" y="1213931"/>
          <a:ext cx="1286451" cy="3998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o,iw</a:t>
          </a:r>
          <a:r>
            <a:rPr lang="en-US" sz="12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+</a:t>
          </a:r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o,ow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0.09846</cdr:x>
      <cdr:y>0.36861</cdr:y>
    </cdr:from>
    <cdr:to>
      <cdr:x>0.26371</cdr:x>
      <cdr:y>0.46814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55CA48A-147F-42E2-B395-FACC24C7A1CB}"/>
            </a:ext>
          </a:extLst>
        </cdr:cNvPr>
        <cdr:cNvSpPr txBox="1"/>
      </cdr:nvSpPr>
      <cdr:spPr>
        <a:xfrm xmlns:a="http://schemas.openxmlformats.org/drawingml/2006/main">
          <a:off x="769600" y="1480944"/>
          <a:ext cx="1291609" cy="399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r>
            <a:rPr lang="en-US" sz="1200" baseline="30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*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0.10156</cdr:x>
      <cdr:y>0.48488</cdr:y>
    </cdr:from>
    <cdr:to>
      <cdr:x>0.20519</cdr:x>
      <cdr:y>0.5844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5C21EDA-C4F8-4784-B49D-6E2D7A5BE298}"/>
            </a:ext>
          </a:extLst>
        </cdr:cNvPr>
        <cdr:cNvSpPr txBox="1"/>
      </cdr:nvSpPr>
      <cdr:spPr>
        <a:xfrm xmlns:a="http://schemas.openxmlformats.org/drawingml/2006/main">
          <a:off x="793820" y="1948061"/>
          <a:ext cx="809994" cy="399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1" fontAlgn="auto" latinLnBrk="0" hangingPunct="1"/>
          <a:r>
            <a:rPr lang="en-US" sz="12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en-US" sz="1200" baseline="-250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0.12111</cdr:x>
      <cdr:y>0.90047</cdr:y>
    </cdr:from>
    <cdr:to>
      <cdr:x>0.22475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07C0865-646C-45E1-8467-98ED14ABC115}"/>
            </a:ext>
          </a:extLst>
        </cdr:cNvPr>
        <cdr:cNvSpPr txBox="1"/>
      </cdr:nvSpPr>
      <cdr:spPr>
        <a:xfrm xmlns:a="http://schemas.openxmlformats.org/drawingml/2006/main">
          <a:off x="946658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cdr:txBody>
    </cdr:sp>
  </cdr:relSizeAnchor>
  <cdr:relSizeAnchor xmlns:cdr="http://schemas.openxmlformats.org/drawingml/2006/chartDrawing">
    <cdr:from>
      <cdr:x>0.26485</cdr:x>
      <cdr:y>0.90047</cdr:y>
    </cdr:from>
    <cdr:to>
      <cdr:x>0.36848</cdr:x>
      <cdr:y>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11192C31-1952-4ADB-9F8D-A2CA13814A6B}"/>
            </a:ext>
          </a:extLst>
        </cdr:cNvPr>
        <cdr:cNvSpPr txBox="1"/>
      </cdr:nvSpPr>
      <cdr:spPr>
        <a:xfrm xmlns:a="http://schemas.openxmlformats.org/drawingml/2006/main">
          <a:off x="207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cdr:txBody>
    </cdr:sp>
  </cdr:relSizeAnchor>
  <cdr:relSizeAnchor xmlns:cdr="http://schemas.openxmlformats.org/drawingml/2006/chartDrawing">
    <cdr:from>
      <cdr:x>0.7523</cdr:x>
      <cdr:y>0.90047</cdr:y>
    </cdr:from>
    <cdr:to>
      <cdr:x>0.85593</cdr:x>
      <cdr:y>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6ADDBCB-CEEE-4D96-879B-648CDE3FB045}"/>
            </a:ext>
          </a:extLst>
        </cdr:cNvPr>
        <cdr:cNvSpPr txBox="1"/>
      </cdr:nvSpPr>
      <cdr:spPr>
        <a:xfrm xmlns:a="http://schemas.openxmlformats.org/drawingml/2006/main">
          <a:off x="5880100" y="3617785"/>
          <a:ext cx="810020" cy="399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u</a:t>
          </a:r>
          <a:r>
            <a:rPr lang="en-US" sz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C170-6354-4BF4-B570-9D34A8C5DF7B}">
  <dimension ref="A1:AO73"/>
  <sheetViews>
    <sheetView tabSelected="1" topLeftCell="D15" zoomScale="90" zoomScaleNormal="90" workbookViewId="0">
      <selection activeCell="I28" sqref="I28"/>
    </sheetView>
  </sheetViews>
  <sheetFormatPr defaultRowHeight="15" x14ac:dyDescent="0.25"/>
  <cols>
    <col min="1" max="1" width="12.85546875" bestFit="1" customWidth="1"/>
    <col min="2" max="2" width="17.5703125" bestFit="1" customWidth="1"/>
    <col min="3" max="3" width="18.42578125" bestFit="1" customWidth="1"/>
    <col min="4" max="4" width="22.42578125" customWidth="1"/>
    <col min="6" max="6" width="14" customWidth="1"/>
    <col min="9" max="9" width="16.85546875" bestFit="1" customWidth="1"/>
    <col min="10" max="10" width="13.28515625" bestFit="1" customWidth="1"/>
    <col min="11" max="11" width="35.28515625" bestFit="1" customWidth="1"/>
    <col min="24" max="24" width="6.42578125" customWidth="1"/>
    <col min="26" max="26" width="4.42578125" customWidth="1"/>
    <col min="27" max="27" width="3" customWidth="1"/>
    <col min="28" max="28" width="3.28515625" customWidth="1"/>
    <col min="29" max="29" width="4.85546875" customWidth="1"/>
  </cols>
  <sheetData>
    <row r="1" spans="1:41" x14ac:dyDescent="0.25">
      <c r="A1" s="12" t="s">
        <v>104</v>
      </c>
      <c r="B1" s="27" t="s">
        <v>106</v>
      </c>
      <c r="C1" s="27">
        <v>10</v>
      </c>
      <c r="D1" t="s">
        <v>107</v>
      </c>
      <c r="E1" s="29">
        <v>0.1</v>
      </c>
      <c r="G1" t="s">
        <v>109</v>
      </c>
      <c r="H1">
        <v>9.81</v>
      </c>
      <c r="K1" s="58" t="s">
        <v>36</v>
      </c>
      <c r="L1" s="58"/>
      <c r="M1" s="58"/>
      <c r="N1" s="58"/>
      <c r="O1" s="58"/>
      <c r="P1" s="58"/>
      <c r="Q1" s="58"/>
      <c r="R1" s="58"/>
      <c r="S1" s="58"/>
    </row>
    <row r="2" spans="1:41" ht="15" customHeight="1" x14ac:dyDescent="0.25">
      <c r="A2" s="12"/>
      <c r="B2" s="27"/>
      <c r="C2" s="27"/>
      <c r="D2" s="28" t="s">
        <v>108</v>
      </c>
      <c r="E2" s="27">
        <v>3.84</v>
      </c>
      <c r="F2" t="s">
        <v>123</v>
      </c>
      <c r="J2" s="58" t="s">
        <v>125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AI2" s="56" t="s">
        <v>98</v>
      </c>
      <c r="AJ2" s="56">
        <f>(B4/B5)*L3</f>
        <v>0.23797784700000005</v>
      </c>
      <c r="AK2" s="57" t="s">
        <v>119</v>
      </c>
      <c r="AL2" s="57"/>
      <c r="AM2" s="57"/>
      <c r="AN2" s="57"/>
      <c r="AO2" s="57"/>
    </row>
    <row r="3" spans="1:41" x14ac:dyDescent="0.25">
      <c r="A3" t="s">
        <v>89</v>
      </c>
      <c r="D3" s="27"/>
      <c r="E3" s="27"/>
      <c r="J3" s="13"/>
      <c r="K3" s="14" t="s">
        <v>120</v>
      </c>
      <c r="L3" s="14">
        <f>B8*B19/1000</f>
        <v>0.9947474004600001</v>
      </c>
      <c r="M3" s="14"/>
      <c r="N3" t="s">
        <v>127</v>
      </c>
      <c r="O3" s="16" t="s">
        <v>102</v>
      </c>
      <c r="P3" s="16">
        <f>(L3*B4/2+L4*B4/2)/(L4*B5+L3*B5/2)</f>
        <v>0.12395438613662256</v>
      </c>
      <c r="Q3" s="16" t="s">
        <v>126</v>
      </c>
      <c r="R3" s="17">
        <f>L3*P3</f>
        <v>0.12330330338502037</v>
      </c>
      <c r="S3" s="24" t="s">
        <v>105</v>
      </c>
      <c r="W3" s="33" t="s">
        <v>111</v>
      </c>
      <c r="X3" s="33"/>
      <c r="Y3" s="33"/>
      <c r="Z3" s="33" t="s">
        <v>4</v>
      </c>
      <c r="AA3" s="33"/>
      <c r="AB3" s="33" t="s">
        <v>113</v>
      </c>
      <c r="AC3" s="33"/>
      <c r="AD3" s="33" t="s">
        <v>112</v>
      </c>
    </row>
    <row r="4" spans="1:41" x14ac:dyDescent="0.25">
      <c r="A4" s="37" t="s">
        <v>5</v>
      </c>
      <c r="B4" s="38">
        <f>0.1</f>
        <v>0.1</v>
      </c>
      <c r="C4" s="39" t="s">
        <v>110</v>
      </c>
      <c r="D4" s="48" t="s">
        <v>5</v>
      </c>
      <c r="E4" s="49">
        <f>0.1</f>
        <v>0.1</v>
      </c>
      <c r="F4" s="39" t="s">
        <v>115</v>
      </c>
      <c r="J4" s="15" t="s">
        <v>116</v>
      </c>
      <c r="K4" s="16" t="s">
        <v>118</v>
      </c>
      <c r="L4" s="16">
        <f>B10*B19/1000</f>
        <v>13.22</v>
      </c>
      <c r="M4" s="16"/>
      <c r="N4" t="s">
        <v>128</v>
      </c>
      <c r="O4" s="16" t="s">
        <v>102</v>
      </c>
      <c r="P4">
        <f>(L3*B4/2+L4*B4)/(L4*B5+L3*B5/2)</f>
        <v>0.23923444976076552</v>
      </c>
      <c r="Q4" s="16" t="s">
        <v>126</v>
      </c>
      <c r="R4">
        <f>L3*P4</f>
        <v>0.23797784699999999</v>
      </c>
      <c r="S4" s="25"/>
      <c r="W4" s="21">
        <f>B5</f>
        <v>0.41799999999999998</v>
      </c>
      <c r="X4" s="36"/>
      <c r="Z4" s="30"/>
      <c r="AB4" s="30"/>
      <c r="AD4" s="21">
        <f>C32/1000</f>
        <v>1.0453227697838339</v>
      </c>
    </row>
    <row r="5" spans="1:41" x14ac:dyDescent="0.25">
      <c r="A5" s="40" t="s">
        <v>6</v>
      </c>
      <c r="B5" s="41">
        <f>418/1000</f>
        <v>0.41799999999999998</v>
      </c>
      <c r="C5" s="42"/>
      <c r="D5" s="50" t="s">
        <v>6</v>
      </c>
      <c r="E5" s="51">
        <f>W16</f>
        <v>0.45399999999999996</v>
      </c>
      <c r="F5" s="42"/>
      <c r="J5" s="13"/>
      <c r="K5" s="14" t="s">
        <v>124</v>
      </c>
      <c r="L5" s="14">
        <f>E8*B19/1000</f>
        <v>1.0804194253800001</v>
      </c>
      <c r="M5" s="14"/>
      <c r="S5" s="25"/>
      <c r="W5" s="22"/>
      <c r="X5" s="36"/>
      <c r="Z5" s="31"/>
      <c r="AB5" s="31"/>
      <c r="AD5" s="22"/>
    </row>
    <row r="6" spans="1:41" x14ac:dyDescent="0.25">
      <c r="A6" s="40" t="s">
        <v>7</v>
      </c>
      <c r="B6" s="41">
        <f>1322/1000</f>
        <v>1.3220000000000001</v>
      </c>
      <c r="C6" s="42"/>
      <c r="D6" s="50" t="s">
        <v>7</v>
      </c>
      <c r="E6" s="51">
        <f>1322/1000</f>
        <v>1.3220000000000001</v>
      </c>
      <c r="F6" s="42"/>
      <c r="J6" s="18" t="s">
        <v>117</v>
      </c>
      <c r="K6" s="19" t="s">
        <v>121</v>
      </c>
      <c r="L6" s="19">
        <f>B10*B19/1000+E2+B8*B19/1000+B21*B19/1000</f>
        <v>22.147966368860004</v>
      </c>
      <c r="M6" s="19"/>
      <c r="N6" t="s">
        <v>127</v>
      </c>
      <c r="O6" s="19" t="s">
        <v>102</v>
      </c>
      <c r="P6" s="19">
        <f>(L3*B4/2+L6*B4/2+L7*B5)/(L6*B5+L3*B5/2)</f>
        <v>0.70906627896130903</v>
      </c>
      <c r="Q6" s="19" t="s">
        <v>126</v>
      </c>
      <c r="R6" s="20">
        <f>L5*P6</f>
        <v>0.76608898167171235</v>
      </c>
      <c r="S6" s="25"/>
      <c r="W6" s="22"/>
      <c r="X6" s="36"/>
      <c r="Z6" s="31"/>
      <c r="AB6" s="31"/>
      <c r="AD6" s="22"/>
    </row>
    <row r="7" spans="1:41" x14ac:dyDescent="0.25">
      <c r="A7" s="43" t="s">
        <v>3</v>
      </c>
      <c r="B7" s="41">
        <f>B20</f>
        <v>1835</v>
      </c>
      <c r="C7" s="42"/>
      <c r="D7" s="52" t="s">
        <v>3</v>
      </c>
      <c r="E7" s="51">
        <f>B20</f>
        <v>1835</v>
      </c>
      <c r="F7" s="42"/>
      <c r="J7" s="15"/>
      <c r="K7" s="16" t="s">
        <v>122</v>
      </c>
      <c r="L7" s="16">
        <f>0.6*L6</f>
        <v>13.288779821316002</v>
      </c>
      <c r="M7" s="16"/>
      <c r="N7" t="s">
        <v>128</v>
      </c>
      <c r="O7" s="16" t="s">
        <v>102</v>
      </c>
      <c r="P7" s="16">
        <f>(L3*B4/2+L6*B4+L7*B5)/(L6*B5+L3*B5/2)</f>
        <v>0.82605627627220146</v>
      </c>
      <c r="Q7" s="19" t="s">
        <v>126</v>
      </c>
      <c r="R7" s="17">
        <f>L5*P7</f>
        <v>0.89248724734155449</v>
      </c>
      <c r="S7" s="26"/>
      <c r="W7" s="23"/>
      <c r="X7" s="36"/>
      <c r="Y7" s="34" t="s">
        <v>114</v>
      </c>
      <c r="Z7" s="35"/>
      <c r="AB7" s="31"/>
      <c r="AD7" s="22"/>
    </row>
    <row r="8" spans="1:41" x14ac:dyDescent="0.25">
      <c r="A8" s="43" t="s">
        <v>51</v>
      </c>
      <c r="B8" s="44">
        <f>B4*B5*B7*$H$1/1000</f>
        <v>0.75245643000000006</v>
      </c>
      <c r="C8" s="42"/>
      <c r="D8" s="52" t="s">
        <v>51</v>
      </c>
      <c r="E8" s="53">
        <f>E4*E5*E7*$H$1/1000</f>
        <v>0.81726129000000003</v>
      </c>
      <c r="F8" s="42"/>
      <c r="W8" s="21">
        <f>B32/1000</f>
        <v>0.84805923511301873</v>
      </c>
      <c r="X8" s="36"/>
      <c r="Z8" s="30"/>
      <c r="AB8" s="31"/>
      <c r="AD8" s="22"/>
    </row>
    <row r="9" spans="1:41" x14ac:dyDescent="0.25">
      <c r="A9" s="43" t="s">
        <v>92</v>
      </c>
      <c r="B9" s="44">
        <f>E2*1000/2/B19</f>
        <v>1.4523449319213313</v>
      </c>
      <c r="C9" s="42"/>
      <c r="D9" s="52" t="s">
        <v>92</v>
      </c>
      <c r="E9" s="53">
        <f>E2*1000/2/B19</f>
        <v>1.4523449319213313</v>
      </c>
      <c r="F9" s="42"/>
      <c r="W9" s="22"/>
      <c r="X9" s="36"/>
      <c r="Z9" s="31"/>
      <c r="AB9" s="31"/>
      <c r="AD9" s="22"/>
    </row>
    <row r="10" spans="1:41" x14ac:dyDescent="0.25">
      <c r="A10" s="43" t="s">
        <v>52</v>
      </c>
      <c r="B10" s="41">
        <f>E1*B15</f>
        <v>10</v>
      </c>
      <c r="C10" s="42"/>
      <c r="D10" s="52" t="s">
        <v>52</v>
      </c>
      <c r="E10" s="51">
        <f>E1*B15</f>
        <v>10</v>
      </c>
      <c r="F10" s="42"/>
      <c r="W10" s="22"/>
      <c r="X10" s="36"/>
      <c r="Z10" s="31"/>
      <c r="AB10" s="31"/>
      <c r="AD10" s="22"/>
    </row>
    <row r="11" spans="1:41" x14ac:dyDescent="0.25">
      <c r="A11" s="45" t="s">
        <v>95</v>
      </c>
      <c r="B11" s="46">
        <f>B8+B9+B10</f>
        <v>12.204801361921332</v>
      </c>
      <c r="C11" s="47"/>
      <c r="D11" s="54" t="s">
        <v>95</v>
      </c>
      <c r="E11" s="55">
        <f>E8+E9+E10</f>
        <v>12.269606221921332</v>
      </c>
      <c r="F11" s="47"/>
      <c r="W11" s="23"/>
      <c r="X11" s="36"/>
      <c r="Z11" s="32"/>
      <c r="AB11" s="32"/>
      <c r="AD11" s="23"/>
    </row>
    <row r="12" spans="1:41" x14ac:dyDescent="0.25">
      <c r="A12" s="2"/>
      <c r="W12" s="21">
        <f>B31/1000</f>
        <v>0.87194076488698125</v>
      </c>
      <c r="X12" s="36"/>
      <c r="Z12" s="30"/>
      <c r="AB12" s="30"/>
      <c r="AD12" s="21">
        <f>C31/1000</f>
        <v>1.5346772302161662</v>
      </c>
    </row>
    <row r="13" spans="1:41" ht="17.25" x14ac:dyDescent="0.3">
      <c r="B13" s="8" t="s">
        <v>90</v>
      </c>
      <c r="C13" s="9" t="s">
        <v>91</v>
      </c>
      <c r="W13" s="22"/>
      <c r="X13" s="36"/>
      <c r="Z13" s="31"/>
      <c r="AB13" s="31"/>
      <c r="AD13" s="22"/>
    </row>
    <row r="14" spans="1:41" x14ac:dyDescent="0.25">
      <c r="A14" t="s">
        <v>5</v>
      </c>
      <c r="B14">
        <v>0.1</v>
      </c>
      <c r="C14">
        <v>0.1</v>
      </c>
      <c r="I14" t="s">
        <v>70</v>
      </c>
      <c r="J14" t="s">
        <v>71</v>
      </c>
      <c r="W14" s="22"/>
      <c r="X14" s="36"/>
      <c r="Z14" s="31"/>
      <c r="AB14" s="31"/>
      <c r="AD14" s="22"/>
    </row>
    <row r="15" spans="1:41" x14ac:dyDescent="0.25">
      <c r="A15" t="s">
        <v>0</v>
      </c>
      <c r="B15">
        <v>100</v>
      </c>
      <c r="C15">
        <v>100</v>
      </c>
      <c r="H15" t="s">
        <v>57</v>
      </c>
      <c r="I15">
        <f>B41/1000</f>
        <v>1.2095355027434811</v>
      </c>
      <c r="W15" s="23"/>
      <c r="X15" s="36"/>
      <c r="Z15" s="32"/>
      <c r="AB15" s="31"/>
      <c r="AD15" s="22"/>
    </row>
    <row r="16" spans="1:41" x14ac:dyDescent="0.25">
      <c r="A16" t="s">
        <v>6</v>
      </c>
      <c r="B16">
        <v>1.72</v>
      </c>
      <c r="C16">
        <v>2.58</v>
      </c>
      <c r="G16" t="s">
        <v>130</v>
      </c>
      <c r="H16" t="s">
        <v>58</v>
      </c>
      <c r="I16">
        <f>B29*B19/1000</f>
        <v>11.426456644226969</v>
      </c>
      <c r="P16" s="5" t="s">
        <v>86</v>
      </c>
      <c r="Q16" s="5" t="s">
        <v>87</v>
      </c>
      <c r="R16" s="5" t="s">
        <v>88</v>
      </c>
      <c r="W16" s="21">
        <f>2592/1000-W4-W8-W12</f>
        <v>0.45399999999999996</v>
      </c>
      <c r="X16" s="36"/>
      <c r="Y16" s="34" t="s">
        <v>114</v>
      </c>
      <c r="Z16" s="35"/>
      <c r="AB16" s="31"/>
      <c r="AD16" s="22"/>
    </row>
    <row r="17" spans="1:30" x14ac:dyDescent="0.25">
      <c r="A17" t="s">
        <v>1</v>
      </c>
      <c r="B17">
        <f>1000*B16</f>
        <v>1720</v>
      </c>
      <c r="C17">
        <f>1000*C16</f>
        <v>2580</v>
      </c>
      <c r="H17" t="s">
        <v>60</v>
      </c>
      <c r="I17">
        <f>C29*C19/1000</f>
        <v>4.917028988232528</v>
      </c>
      <c r="P17" s="5">
        <f>I16+I17+I15</f>
        <v>17.553021135202979</v>
      </c>
      <c r="Q17" s="5">
        <f>I18+I19+I15</f>
        <v>8.5828378032820147</v>
      </c>
      <c r="R17" s="5">
        <f>J18+I19+I15</f>
        <v>10.485387381473892</v>
      </c>
      <c r="W17" s="22"/>
      <c r="X17" s="36"/>
      <c r="Z17" s="31"/>
      <c r="AB17" s="31"/>
      <c r="AD17" s="22"/>
    </row>
    <row r="18" spans="1:30" x14ac:dyDescent="0.25">
      <c r="A18" t="s">
        <v>7</v>
      </c>
      <c r="B18">
        <v>1.3220000000000001</v>
      </c>
      <c r="C18">
        <v>1.292</v>
      </c>
      <c r="H18" t="s">
        <v>129</v>
      </c>
      <c r="I18">
        <f>B34*B19/1000</f>
        <v>6.5423065854197482</v>
      </c>
      <c r="J18">
        <f>B36*B19/1000</f>
        <v>8.4448561636116253</v>
      </c>
      <c r="P18">
        <f>I16+I17</f>
        <v>16.343485632459497</v>
      </c>
      <c r="Q18">
        <f>I18+I19</f>
        <v>7.3733023005385334</v>
      </c>
      <c r="R18">
        <f>J18+I19</f>
        <v>9.2758518787304105</v>
      </c>
      <c r="W18" s="22"/>
      <c r="X18" s="36"/>
      <c r="Z18" s="31"/>
      <c r="AB18" s="31"/>
      <c r="AD18" s="22"/>
    </row>
    <row r="19" spans="1:30" x14ac:dyDescent="0.25">
      <c r="A19" t="s">
        <v>2</v>
      </c>
      <c r="B19">
        <f>1000*B18</f>
        <v>1322</v>
      </c>
      <c r="C19">
        <f>1000*C18</f>
        <v>1292</v>
      </c>
      <c r="H19" t="s">
        <v>131</v>
      </c>
      <c r="I19">
        <f>C34*C19/1000</f>
        <v>0.83099571511878556</v>
      </c>
      <c r="J19">
        <f>C34*C19/1000</f>
        <v>0.83099571511878556</v>
      </c>
      <c r="W19" s="23"/>
      <c r="X19" s="36"/>
      <c r="Z19" s="32"/>
      <c r="AB19" s="32"/>
      <c r="AD19" s="23"/>
    </row>
    <row r="20" spans="1:30" x14ac:dyDescent="0.25">
      <c r="A20" s="2" t="s">
        <v>3</v>
      </c>
      <c r="B20">
        <v>1835</v>
      </c>
      <c r="C20">
        <v>1950</v>
      </c>
      <c r="H20" t="s">
        <v>132</v>
      </c>
      <c r="I20">
        <f>R6</f>
        <v>0.76608898167171235</v>
      </c>
      <c r="J20">
        <f>R7</f>
        <v>0.89248724734155449</v>
      </c>
    </row>
    <row r="21" spans="1:30" x14ac:dyDescent="0.25">
      <c r="A21" s="2" t="s">
        <v>51</v>
      </c>
      <c r="B21" s="1">
        <f>B14*B16*B20*$H$1/1000</f>
        <v>3.0962322000000002</v>
      </c>
      <c r="C21" s="1">
        <f>C14*C16*C20*$H$1/1000</f>
        <v>4.9354110000000002</v>
      </c>
      <c r="D21" s="1"/>
      <c r="H21" t="s">
        <v>133</v>
      </c>
      <c r="I21">
        <f>R3</f>
        <v>0.12330330338502037</v>
      </c>
      <c r="J21">
        <f>R4</f>
        <v>0.23797784699999999</v>
      </c>
    </row>
    <row r="22" spans="1:30" x14ac:dyDescent="0.25">
      <c r="A22" s="2" t="s">
        <v>52</v>
      </c>
      <c r="B22" s="1">
        <f>B11</f>
        <v>12.204801361921332</v>
      </c>
      <c r="C22">
        <v>0</v>
      </c>
    </row>
    <row r="23" spans="1:30" x14ac:dyDescent="0.25">
      <c r="A23" s="2" t="s">
        <v>9</v>
      </c>
      <c r="B23" s="5">
        <v>0.42</v>
      </c>
      <c r="C23" s="5">
        <v>0.46</v>
      </c>
    </row>
    <row r="24" spans="1:30" x14ac:dyDescent="0.25">
      <c r="A24" s="2" t="s">
        <v>53</v>
      </c>
      <c r="B24">
        <f>(B23+((B21+B22)/(B15)))*(B15^2)/6</f>
        <v>955.01722603202222</v>
      </c>
      <c r="C24">
        <f t="shared" ref="C24" si="0">(C23+((C21+C22)/(C15)))*(C15^2)/6</f>
        <v>848.92351666666661</v>
      </c>
    </row>
    <row r="25" spans="1:30" x14ac:dyDescent="0.25">
      <c r="A25" s="2" t="s">
        <v>54</v>
      </c>
      <c r="B25">
        <f>(B23+(B22)/(B15))*((B15)^2)/6</f>
        <v>903.41335603202208</v>
      </c>
      <c r="C25">
        <f t="shared" ref="C25" si="1">(C23+(C22)/(C15))*((C15)^2)/6</f>
        <v>766.66666666666663</v>
      </c>
      <c r="K25" t="s">
        <v>134</v>
      </c>
      <c r="L25">
        <f>I18+I19+I20+I21</f>
        <v>8.2626945855952663</v>
      </c>
      <c r="O25" t="s">
        <v>140</v>
      </c>
      <c r="R25" t="s">
        <v>141</v>
      </c>
      <c r="U25" t="s">
        <v>142</v>
      </c>
    </row>
    <row r="26" spans="1:30" x14ac:dyDescent="0.25">
      <c r="A26" s="2" t="s">
        <v>10</v>
      </c>
      <c r="B26">
        <v>1</v>
      </c>
      <c r="C26">
        <v>1</v>
      </c>
      <c r="K26" t="s">
        <v>138</v>
      </c>
      <c r="L26">
        <f>J18+J19+J20+J21</f>
        <v>10.406316973071965</v>
      </c>
      <c r="N26" t="s">
        <v>79</v>
      </c>
      <c r="O26" t="str">
        <f>K25</f>
        <v>F0,iw_m+F0,ow+F0,iw_l+F0,iw_u</v>
      </c>
      <c r="Q26" t="s">
        <v>79</v>
      </c>
      <c r="R26" t="str">
        <f>K26</f>
        <v>F*0,iw_m+F*0,ow+F*0,iw_l+F*0,iw_u</v>
      </c>
      <c r="T26" t="s">
        <v>42</v>
      </c>
      <c r="U26" t="str">
        <f>K27</f>
        <v>F*0,iw_m+F*0,ow+F*0,iw_l+F*0,iw_u+Fc</v>
      </c>
    </row>
    <row r="27" spans="1:30" x14ac:dyDescent="0.25">
      <c r="A27" s="2" t="s">
        <v>11</v>
      </c>
      <c r="B27">
        <v>1</v>
      </c>
      <c r="C27">
        <v>0</v>
      </c>
      <c r="K27" t="s">
        <v>139</v>
      </c>
      <c r="L27">
        <f>J18+J19+J20+J21+I15</f>
        <v>11.615852475815446</v>
      </c>
      <c r="N27">
        <v>0</v>
      </c>
      <c r="O27">
        <v>0</v>
      </c>
      <c r="Q27">
        <v>0</v>
      </c>
      <c r="R27">
        <v>0</v>
      </c>
      <c r="T27">
        <v>0</v>
      </c>
      <c r="U27">
        <v>0</v>
      </c>
    </row>
    <row r="28" spans="1:30" ht="18" x14ac:dyDescent="0.4">
      <c r="A28" s="2" t="s">
        <v>12</v>
      </c>
      <c r="B28">
        <f>B23+1/B15*(B21/2+B22+((3*(B26*B24+B27*B25))/B15))</f>
        <v>1.1150583492384267</v>
      </c>
      <c r="C28">
        <f>C23+1/C15*(C21/2+C22+((3*(C26*C24+C27*C25))/C15))</f>
        <v>0.73935411000000006</v>
      </c>
      <c r="K28" s="2" t="s">
        <v>135</v>
      </c>
      <c r="L28">
        <f>B46</f>
        <v>77.47090606007184</v>
      </c>
      <c r="N28">
        <v>0</v>
      </c>
      <c r="O28">
        <f>L25</f>
        <v>8.2626945855952663</v>
      </c>
      <c r="Q28">
        <v>0</v>
      </c>
      <c r="R28">
        <f>L26</f>
        <v>10.406316973071965</v>
      </c>
      <c r="T28">
        <v>0</v>
      </c>
      <c r="U28">
        <f>L27</f>
        <v>11.615852475815446</v>
      </c>
    </row>
    <row r="29" spans="1:30" x14ac:dyDescent="0.25">
      <c r="A29" s="2" t="s">
        <v>55</v>
      </c>
      <c r="B29">
        <f>(B28+SQRT(B28^2-(B21^2)/(4*B15^2)-(B26*B24-B27*B25)/(B15^3)-(B26*B24-B27*B25)^2/B15^4))/(3*B17/2/B15^2)</f>
        <v>8.6433106234697181</v>
      </c>
      <c r="C29">
        <f>(C28+SQRT(C28^2-(C21^2)/(4*C15^2)-(C26*C24-C27*C25)/(C15^3)-(C26*C24-C27*C25)^2/C15^4))/(3*C17/2/C15^2)</f>
        <v>3.8057499908920494</v>
      </c>
      <c r="K29" s="2" t="s">
        <v>136</v>
      </c>
      <c r="L29">
        <f>B47</f>
        <v>100</v>
      </c>
      <c r="N29">
        <f>L28</f>
        <v>77.47090606007184</v>
      </c>
      <c r="O29">
        <v>0</v>
      </c>
      <c r="Q29">
        <f>L29</f>
        <v>100</v>
      </c>
      <c r="R29">
        <v>0</v>
      </c>
      <c r="T29">
        <f>L29</f>
        <v>100</v>
      </c>
      <c r="U29">
        <v>0</v>
      </c>
    </row>
    <row r="30" spans="1:30" x14ac:dyDescent="0.25">
      <c r="A30" s="2" t="s">
        <v>13</v>
      </c>
      <c r="B30">
        <f>1/2+1/B17/B29*(B21*B15/6+(B26*B24-B27*B25))</f>
        <v>0.50694230516684957</v>
      </c>
      <c r="C30">
        <f>1/2+1/C17/C29*(C21*C15/6+(C26*C24-C27*C25))</f>
        <v>0.59483613574270011</v>
      </c>
    </row>
    <row r="31" spans="1:30" x14ac:dyDescent="0.25">
      <c r="A31" s="2" t="s">
        <v>14</v>
      </c>
      <c r="B31">
        <f>B30*B17</f>
        <v>871.94076488698124</v>
      </c>
      <c r="C31">
        <f>C30*C17</f>
        <v>1534.6772302161662</v>
      </c>
      <c r="N31" t="s">
        <v>65</v>
      </c>
      <c r="O31">
        <f>(O28-O29)/(N28-N29)</f>
        <v>-0.10665545307019227</v>
      </c>
    </row>
    <row r="32" spans="1:30" x14ac:dyDescent="0.25">
      <c r="A32" s="2" t="s">
        <v>30</v>
      </c>
      <c r="B32">
        <f>B17-B31</f>
        <v>848.05923511301876</v>
      </c>
      <c r="C32">
        <f t="shared" ref="C32" si="2">C17-C31</f>
        <v>1045.3227697838338</v>
      </c>
    </row>
    <row r="33" spans="1:5" x14ac:dyDescent="0.25">
      <c r="A33" s="2" t="s">
        <v>15</v>
      </c>
      <c r="B33">
        <v>0</v>
      </c>
      <c r="C33">
        <v>0</v>
      </c>
    </row>
    <row r="34" spans="1:5" x14ac:dyDescent="0.25">
      <c r="A34" s="2" t="s">
        <v>56</v>
      </c>
      <c r="B34">
        <f>2/B31*(B21+B22)*B15+B22/(B17-B31)*(B15+2*B33)</f>
        <v>4.9487946939635012</v>
      </c>
      <c r="C34">
        <f>2/C31*(C21+C22)*C15+C22/(C17-C31)*(C15+2*C33)</f>
        <v>0.64318553801763589</v>
      </c>
    </row>
    <row r="35" spans="1:5" x14ac:dyDescent="0.25">
      <c r="A35" s="2" t="s">
        <v>67</v>
      </c>
      <c r="B35">
        <v>50</v>
      </c>
      <c r="C35">
        <v>50</v>
      </c>
    </row>
    <row r="36" spans="1:5" x14ac:dyDescent="0.25">
      <c r="A36" s="2" t="s">
        <v>66</v>
      </c>
      <c r="B36">
        <f>2/B31*(B21+B22)*B15+B22/(B17-B31)*(B15+2*B35)</f>
        <v>6.3879396093885212</v>
      </c>
      <c r="C36">
        <f>2/C31*(C21+C22)*C15+C22/(C17-C31)*(C15+2*C35)</f>
        <v>0.64318553801763589</v>
      </c>
    </row>
    <row r="37" spans="1:5" x14ac:dyDescent="0.25">
      <c r="A37" s="2" t="s">
        <v>16</v>
      </c>
      <c r="B37">
        <v>3000</v>
      </c>
      <c r="C37">
        <v>3000</v>
      </c>
    </row>
    <row r="38" spans="1:5" x14ac:dyDescent="0.25">
      <c r="A38" s="2" t="s">
        <v>17</v>
      </c>
      <c r="B38">
        <v>100</v>
      </c>
      <c r="C38">
        <v>100</v>
      </c>
    </row>
    <row r="39" spans="1:5" x14ac:dyDescent="0.25">
      <c r="A39" s="2" t="s">
        <v>46</v>
      </c>
      <c r="B39">
        <f>B37*$C$1</f>
        <v>30000</v>
      </c>
      <c r="C39">
        <f>C37*$C$1</f>
        <v>30000</v>
      </c>
    </row>
    <row r="40" spans="1:5" x14ac:dyDescent="0.25">
      <c r="A40" s="2" t="s">
        <v>47</v>
      </c>
      <c r="B40">
        <f>B38*$C$1</f>
        <v>1000</v>
      </c>
      <c r="C40">
        <f>C38*$C$1</f>
        <v>1000</v>
      </c>
    </row>
    <row r="41" spans="1:5" x14ac:dyDescent="0.25">
      <c r="A41" s="2" t="s">
        <v>48</v>
      </c>
      <c r="B41">
        <f>((2*B40*B15*B17/B31/B32)+(2*B39*B17/B31/B32))*2</f>
        <v>1209.5355027434812</v>
      </c>
      <c r="C41">
        <f t="shared" ref="C41" si="3">2*C40*C15*C17/C31/(C17-C31)+2*C39*C17/C31/(C17-C31)</f>
        <v>418.14373462747278</v>
      </c>
    </row>
    <row r="42" spans="1:5" x14ac:dyDescent="0.25">
      <c r="A42" s="2" t="s">
        <v>24</v>
      </c>
      <c r="B42">
        <v>2</v>
      </c>
      <c r="C42">
        <v>4</v>
      </c>
    </row>
    <row r="43" spans="1:5" x14ac:dyDescent="0.25">
      <c r="A43" s="2" t="s">
        <v>25</v>
      </c>
      <c r="B43" s="4">
        <v>3256</v>
      </c>
      <c r="C43">
        <v>5760</v>
      </c>
      <c r="E43" t="s">
        <v>85</v>
      </c>
    </row>
    <row r="44" spans="1:5" x14ac:dyDescent="0.25">
      <c r="A44" s="2" t="s">
        <v>64</v>
      </c>
      <c r="B44">
        <f>B15^3/12</f>
        <v>83333.333333333328</v>
      </c>
      <c r="C44">
        <f t="shared" ref="C44" si="4">C15^3/12</f>
        <v>83333.333333333328</v>
      </c>
    </row>
    <row r="45" spans="1:5" x14ac:dyDescent="0.25">
      <c r="A45" s="2"/>
    </row>
    <row r="46" spans="1:5" x14ac:dyDescent="0.25">
      <c r="A46" s="2" t="s">
        <v>27</v>
      </c>
      <c r="B46">
        <f>(((2/B31*(B21+B22)*B15)+(B22*(B15+2*B33)/(B17-B31)))/((2/B31*(B21+B22))+(2*B22/(B17-B31))))</f>
        <v>77.47090606007184</v>
      </c>
      <c r="C46">
        <v>0</v>
      </c>
    </row>
    <row r="47" spans="1:5" x14ac:dyDescent="0.25">
      <c r="A47" s="2" t="s">
        <v>68</v>
      </c>
      <c r="B47">
        <f>(2/B31*(B21+B22)*B15+B22*(B15+2*B35)/(B17-B31))/(2/B31*(B21+B22)+2*B22/(B17-B31))</f>
        <v>100</v>
      </c>
      <c r="C47">
        <f>(2/C31*(C21+C22)*C15+C22*(C15+2*C35)/(C17-C31))/(2/C31*(C21+C22)+2*C22/(C17-C31))</f>
        <v>100</v>
      </c>
    </row>
    <row r="48" spans="1:5" x14ac:dyDescent="0.25">
      <c r="A48" s="2"/>
    </row>
    <row r="49" spans="1:5" x14ac:dyDescent="0.25">
      <c r="A49" s="2"/>
    </row>
    <row r="50" spans="1:5" x14ac:dyDescent="0.25">
      <c r="A50" s="59" t="s">
        <v>137</v>
      </c>
      <c r="B50" s="57">
        <f>((B21+B22)/B31)+(B22/(2*(B17-B31)))/(((B21+B22)/B31)+(B22/(B17-B31)))*B15</f>
        <v>22.546642188820865</v>
      </c>
    </row>
    <row r="51" spans="1:5" x14ac:dyDescent="0.25">
      <c r="A51" s="2"/>
    </row>
    <row r="52" spans="1:5" x14ac:dyDescent="0.25">
      <c r="A52" s="2"/>
    </row>
    <row r="53" spans="1:5" x14ac:dyDescent="0.25">
      <c r="A53" s="2"/>
    </row>
    <row r="54" spans="1:5" x14ac:dyDescent="0.25">
      <c r="A54" s="2"/>
    </row>
    <row r="55" spans="1:5" x14ac:dyDescent="0.25">
      <c r="A55" s="2"/>
    </row>
    <row r="56" spans="1:5" x14ac:dyDescent="0.25">
      <c r="A56" s="2"/>
    </row>
    <row r="57" spans="1:5" x14ac:dyDescent="0.25">
      <c r="A57" s="2"/>
    </row>
    <row r="58" spans="1:5" x14ac:dyDescent="0.25">
      <c r="A58" s="2"/>
      <c r="E58" s="11"/>
    </row>
    <row r="59" spans="1:5" x14ac:dyDescent="0.25">
      <c r="A59" s="2"/>
      <c r="E59" s="11"/>
    </row>
    <row r="60" spans="1:5" x14ac:dyDescent="0.25">
      <c r="A60" s="2"/>
      <c r="E60" s="11"/>
    </row>
    <row r="61" spans="1:5" x14ac:dyDescent="0.25">
      <c r="A61" s="2"/>
      <c r="E61" s="11"/>
    </row>
    <row r="62" spans="1:5" x14ac:dyDescent="0.25">
      <c r="A62" s="2"/>
      <c r="E62" s="11"/>
    </row>
    <row r="63" spans="1:5" x14ac:dyDescent="0.25">
      <c r="A63" s="2"/>
      <c r="E63" s="11"/>
    </row>
    <row r="64" spans="1:5" x14ac:dyDescent="0.25">
      <c r="A64" s="2"/>
      <c r="E64" s="3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</sheetData>
  <mergeCells count="19">
    <mergeCell ref="W4:W7"/>
    <mergeCell ref="W8:W11"/>
    <mergeCell ref="W12:W15"/>
    <mergeCell ref="W16:W19"/>
    <mergeCell ref="AD4:AD11"/>
    <mergeCell ref="AD12:AD19"/>
    <mergeCell ref="Y7:Z7"/>
    <mergeCell ref="Y16:Z16"/>
    <mergeCell ref="K1:S1"/>
    <mergeCell ref="E58:E63"/>
    <mergeCell ref="A1:A2"/>
    <mergeCell ref="C4:C11"/>
    <mergeCell ref="S3:S7"/>
    <mergeCell ref="B1:B2"/>
    <mergeCell ref="C1:C2"/>
    <mergeCell ref="D2:D3"/>
    <mergeCell ref="E2:E3"/>
    <mergeCell ref="F4:F11"/>
    <mergeCell ref="J2:U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371B-82D8-48D3-AE10-C4D52CD91430}">
  <dimension ref="A1:AA73"/>
  <sheetViews>
    <sheetView zoomScale="90" zoomScaleNormal="90" workbookViewId="0">
      <selection activeCell="G10" sqref="G10"/>
    </sheetView>
  </sheetViews>
  <sheetFormatPr defaultRowHeight="15" x14ac:dyDescent="0.25"/>
  <cols>
    <col min="1" max="1" width="11.85546875" bestFit="1" customWidth="1"/>
    <col min="2" max="2" width="13.5703125" bestFit="1" customWidth="1"/>
    <col min="3" max="3" width="13.140625" bestFit="1" customWidth="1"/>
    <col min="4" max="4" width="15.28515625" bestFit="1" customWidth="1"/>
    <col min="9" max="9" width="16.85546875" bestFit="1" customWidth="1"/>
  </cols>
  <sheetData>
    <row r="1" spans="1:18" x14ac:dyDescent="0.25">
      <c r="A1" t="s">
        <v>103</v>
      </c>
      <c r="B1" t="s">
        <v>45</v>
      </c>
      <c r="C1">
        <v>8</v>
      </c>
      <c r="D1" t="s">
        <v>93</v>
      </c>
      <c r="E1">
        <v>0.1</v>
      </c>
      <c r="G1" t="s">
        <v>8</v>
      </c>
      <c r="H1">
        <v>9.81</v>
      </c>
    </row>
    <row r="2" spans="1:18" x14ac:dyDescent="0.25">
      <c r="D2" t="s">
        <v>94</v>
      </c>
      <c r="E2">
        <v>3.84</v>
      </c>
    </row>
    <row r="3" spans="1:18" x14ac:dyDescent="0.25">
      <c r="A3" t="s">
        <v>89</v>
      </c>
      <c r="K3" t="s">
        <v>96</v>
      </c>
      <c r="L3">
        <f>B8*B19/1000</f>
        <v>0.9947474004600001</v>
      </c>
    </row>
    <row r="4" spans="1:18" x14ac:dyDescent="0.25">
      <c r="A4" t="s">
        <v>5</v>
      </c>
      <c r="B4">
        <f>0.1</f>
        <v>0.1</v>
      </c>
      <c r="J4" t="s">
        <v>100</v>
      </c>
      <c r="K4" t="s">
        <v>97</v>
      </c>
      <c r="L4">
        <f>B10*B19/1000</f>
        <v>13.22</v>
      </c>
      <c r="N4" t="s">
        <v>102</v>
      </c>
      <c r="O4">
        <f>(L3*B4/2+L4*B4/2+L5*B5/2)/(L4*B5+L3*B5/2)</f>
        <v>0.13262870864910212</v>
      </c>
      <c r="Q4" t="s">
        <v>87</v>
      </c>
      <c r="R4">
        <f>L3*O4</f>
        <v>0.13193206315506106</v>
      </c>
    </row>
    <row r="5" spans="1:18" x14ac:dyDescent="0.25">
      <c r="A5" t="s">
        <v>6</v>
      </c>
      <c r="B5">
        <f>418/1000</f>
        <v>0.41799999999999998</v>
      </c>
      <c r="K5" t="s">
        <v>98</v>
      </c>
      <c r="L5">
        <f>(B4/B5)*L3</f>
        <v>0.23797784700000005</v>
      </c>
    </row>
    <row r="6" spans="1:18" x14ac:dyDescent="0.25">
      <c r="A6" t="s">
        <v>7</v>
      </c>
      <c r="B6">
        <f>1322/1000</f>
        <v>1.3220000000000001</v>
      </c>
      <c r="J6" t="s">
        <v>101</v>
      </c>
      <c r="K6" t="s">
        <v>97</v>
      </c>
      <c r="L6">
        <f>B10*B19/1000+E2+B8*B19/1000+B21*B19/1000</f>
        <v>21.505426181960001</v>
      </c>
      <c r="N6" t="s">
        <v>102</v>
      </c>
      <c r="O6">
        <f>(L3*B4/2+L6*B4/2+L5*B5/2+L7*B5)/(L6*B5+L3*B5/2)</f>
        <v>0.71416606250422143</v>
      </c>
      <c r="Q6" t="s">
        <v>87</v>
      </c>
      <c r="R6">
        <f>L3*O6</f>
        <v>0.71041483417282825</v>
      </c>
    </row>
    <row r="7" spans="1:18" x14ac:dyDescent="0.25">
      <c r="A7" s="2" t="s">
        <v>3</v>
      </c>
      <c r="B7">
        <f>B20</f>
        <v>1835</v>
      </c>
      <c r="K7" t="s">
        <v>99</v>
      </c>
      <c r="L7">
        <f>0.6*L6</f>
        <v>12.903255709175999</v>
      </c>
    </row>
    <row r="8" spans="1:18" x14ac:dyDescent="0.25">
      <c r="A8" s="2" t="s">
        <v>51</v>
      </c>
      <c r="B8" s="1">
        <f>B4*B5*B7*$H$1/1000</f>
        <v>0.75245643000000006</v>
      </c>
    </row>
    <row r="9" spans="1:18" x14ac:dyDescent="0.25">
      <c r="A9" s="2" t="s">
        <v>92</v>
      </c>
      <c r="B9" s="1">
        <f>E2*1000/2/B19</f>
        <v>1.4523449319213313</v>
      </c>
    </row>
    <row r="10" spans="1:18" x14ac:dyDescent="0.25">
      <c r="A10" s="2" t="s">
        <v>52</v>
      </c>
      <c r="B10">
        <f>E1*B15</f>
        <v>10</v>
      </c>
    </row>
    <row r="11" spans="1:18" x14ac:dyDescent="0.25">
      <c r="A11" s="2" t="s">
        <v>95</v>
      </c>
      <c r="B11" s="1">
        <f>B8+B9+B10</f>
        <v>12.204801361921332</v>
      </c>
    </row>
    <row r="12" spans="1:18" x14ac:dyDescent="0.25">
      <c r="A12" s="2"/>
    </row>
    <row r="13" spans="1:18" x14ac:dyDescent="0.25">
      <c r="B13" s="7" t="s">
        <v>90</v>
      </c>
      <c r="C13" s="6" t="s">
        <v>91</v>
      </c>
      <c r="G13" s="10" t="s">
        <v>36</v>
      </c>
      <c r="H13" s="10"/>
      <c r="I13" s="10"/>
      <c r="J13" s="10"/>
      <c r="K13" s="10"/>
      <c r="L13" s="10"/>
      <c r="M13" s="10"/>
      <c r="N13" s="10"/>
      <c r="O13" s="10"/>
    </row>
    <row r="14" spans="1:18" x14ac:dyDescent="0.25">
      <c r="A14" t="s">
        <v>5</v>
      </c>
      <c r="B14">
        <v>0.1</v>
      </c>
      <c r="C14">
        <v>0.1</v>
      </c>
      <c r="J14" t="s">
        <v>19</v>
      </c>
    </row>
    <row r="15" spans="1:18" x14ac:dyDescent="0.25">
      <c r="A15" t="s">
        <v>0</v>
      </c>
      <c r="B15">
        <v>100</v>
      </c>
      <c r="C15">
        <v>100</v>
      </c>
      <c r="J15" t="s">
        <v>20</v>
      </c>
    </row>
    <row r="16" spans="1:18" x14ac:dyDescent="0.25">
      <c r="A16" t="s">
        <v>6</v>
      </c>
      <c r="B16">
        <v>1.45</v>
      </c>
      <c r="C16">
        <v>2.2280000000000002</v>
      </c>
      <c r="J16" t="s">
        <v>70</v>
      </c>
      <c r="K16" t="s">
        <v>71</v>
      </c>
      <c r="P16" s="5" t="s">
        <v>86</v>
      </c>
      <c r="Q16" s="5" t="s">
        <v>87</v>
      </c>
      <c r="R16" s="5" t="s">
        <v>88</v>
      </c>
    </row>
    <row r="17" spans="1:27" x14ac:dyDescent="0.25">
      <c r="A17" t="s">
        <v>1</v>
      </c>
      <c r="B17">
        <f>1000*B16</f>
        <v>1450</v>
      </c>
      <c r="C17">
        <f>1000*C16</f>
        <v>2228</v>
      </c>
      <c r="I17" t="s">
        <v>57</v>
      </c>
      <c r="J17">
        <f>B41/1000</f>
        <v>1.1477448319024797</v>
      </c>
      <c r="P17" s="5">
        <f>J18+J20+J17</f>
        <v>20.285569178339578</v>
      </c>
      <c r="Q17" s="5">
        <f>J19+J21+J17</f>
        <v>9.5728168947214805</v>
      </c>
      <c r="R17" s="5">
        <f>K19+J21+J17</f>
        <v>11.824773514757695</v>
      </c>
    </row>
    <row r="18" spans="1:27" x14ac:dyDescent="0.25">
      <c r="A18" t="s">
        <v>7</v>
      </c>
      <c r="B18">
        <v>1.3220000000000001</v>
      </c>
      <c r="C18">
        <v>1.292</v>
      </c>
      <c r="I18" t="s">
        <v>58</v>
      </c>
      <c r="J18">
        <f>B29*B19/1000</f>
        <v>13.495286824313409</v>
      </c>
      <c r="P18">
        <f>J18+J20</f>
        <v>19.1378243464371</v>
      </c>
      <c r="Q18">
        <f>J19+J21</f>
        <v>8.4250720628190017</v>
      </c>
      <c r="R18">
        <f>K19+J21</f>
        <v>10.677028682855214</v>
      </c>
    </row>
    <row r="19" spans="1:27" x14ac:dyDescent="0.25">
      <c r="A19" t="s">
        <v>2</v>
      </c>
      <c r="B19">
        <f>1000*B18</f>
        <v>1322</v>
      </c>
      <c r="C19">
        <f>1000*C18</f>
        <v>1292</v>
      </c>
      <c r="I19" t="s">
        <v>23</v>
      </c>
      <c r="J19">
        <f>B34*B19/1000</f>
        <v>7.5920541053039461</v>
      </c>
      <c r="K19">
        <f>B36*B19/1000</f>
        <v>9.8440107253401585</v>
      </c>
    </row>
    <row r="20" spans="1:27" x14ac:dyDescent="0.25">
      <c r="A20" s="2" t="s">
        <v>3</v>
      </c>
      <c r="B20">
        <v>1835</v>
      </c>
      <c r="C20">
        <v>1950</v>
      </c>
      <c r="I20" t="s">
        <v>60</v>
      </c>
      <c r="J20">
        <f>C29*C19/1000</f>
        <v>5.6425375221236909</v>
      </c>
    </row>
    <row r="21" spans="1:27" x14ac:dyDescent="0.25">
      <c r="A21" s="2" t="s">
        <v>51</v>
      </c>
      <c r="B21" s="1">
        <f>B14*B16*B20*$H$1/1000</f>
        <v>2.6101957499999999</v>
      </c>
      <c r="C21" s="1">
        <f>C14*C16*C20*$H$1/1000</f>
        <v>4.2620526000000005</v>
      </c>
      <c r="D21" s="1"/>
      <c r="I21" t="s">
        <v>59</v>
      </c>
      <c r="J21">
        <f>C34*C19/1000</f>
        <v>0.83301795751505603</v>
      </c>
    </row>
    <row r="22" spans="1:27" x14ac:dyDescent="0.25">
      <c r="A22" s="2" t="s">
        <v>52</v>
      </c>
      <c r="B22" s="1">
        <f>B11</f>
        <v>12.204801361921332</v>
      </c>
      <c r="C22">
        <v>0</v>
      </c>
    </row>
    <row r="23" spans="1:27" x14ac:dyDescent="0.25">
      <c r="A23" s="2" t="s">
        <v>9</v>
      </c>
      <c r="B23" s="5">
        <v>0.42</v>
      </c>
      <c r="C23" s="5">
        <v>0.46</v>
      </c>
    </row>
    <row r="24" spans="1:27" x14ac:dyDescent="0.25">
      <c r="A24" s="2" t="s">
        <v>53</v>
      </c>
      <c r="B24">
        <f>(B23+((B21+B22)/(B15)))*(B15^2)/6</f>
        <v>946.9166185320222</v>
      </c>
      <c r="C24">
        <f t="shared" ref="C24" si="0">(C23+((C21+C22)/(C15)))*(C15^2)/6</f>
        <v>837.70087666666677</v>
      </c>
      <c r="I24" t="s">
        <v>41</v>
      </c>
      <c r="J24" t="s">
        <v>44</v>
      </c>
    </row>
    <row r="25" spans="1:27" x14ac:dyDescent="0.25">
      <c r="A25" s="2" t="s">
        <v>54</v>
      </c>
      <c r="B25">
        <f>(B23+(B22)/(B15))*((B15)^2)/6</f>
        <v>903.41335603202208</v>
      </c>
      <c r="C25">
        <f t="shared" ref="C25" si="1">(C23+(C22)/(C15))*((C15)^2)/6</f>
        <v>766.66666666666663</v>
      </c>
      <c r="R25" t="s">
        <v>81</v>
      </c>
      <c r="U25" t="s">
        <v>83</v>
      </c>
      <c r="W25" t="s">
        <v>71</v>
      </c>
      <c r="X25" t="s">
        <v>82</v>
      </c>
      <c r="Z25" t="s">
        <v>71</v>
      </c>
      <c r="AA25" t="s">
        <v>80</v>
      </c>
    </row>
    <row r="26" spans="1:27" x14ac:dyDescent="0.25">
      <c r="A26" s="2" t="s">
        <v>10</v>
      </c>
      <c r="B26">
        <v>1</v>
      </c>
      <c r="C26">
        <v>1</v>
      </c>
      <c r="H26" t="s">
        <v>42</v>
      </c>
      <c r="I26" t="s">
        <v>21</v>
      </c>
      <c r="K26" t="s">
        <v>42</v>
      </c>
      <c r="L26" t="s">
        <v>22</v>
      </c>
      <c r="N26" t="s">
        <v>42</v>
      </c>
      <c r="O26" t="s">
        <v>18</v>
      </c>
      <c r="Q26" t="s">
        <v>79</v>
      </c>
      <c r="R26" t="s">
        <v>23</v>
      </c>
      <c r="T26" t="s">
        <v>42</v>
      </c>
      <c r="U26" t="s">
        <v>43</v>
      </c>
      <c r="W26" t="s">
        <v>42</v>
      </c>
      <c r="X26" t="s">
        <v>43</v>
      </c>
      <c r="Z26" t="s">
        <v>42</v>
      </c>
      <c r="AA26" t="s">
        <v>23</v>
      </c>
    </row>
    <row r="27" spans="1:27" x14ac:dyDescent="0.25">
      <c r="A27" s="2" t="s">
        <v>11</v>
      </c>
      <c r="B27">
        <v>1</v>
      </c>
      <c r="C27">
        <v>0</v>
      </c>
      <c r="H27">
        <v>0</v>
      </c>
      <c r="I27">
        <v>0</v>
      </c>
      <c r="K27">
        <v>0</v>
      </c>
      <c r="L27">
        <v>0</v>
      </c>
      <c r="N27">
        <v>0</v>
      </c>
      <c r="O27">
        <v>0</v>
      </c>
      <c r="Q27">
        <v>0</v>
      </c>
      <c r="R27">
        <v>0</v>
      </c>
      <c r="T27">
        <v>0</v>
      </c>
      <c r="U27">
        <v>0</v>
      </c>
      <c r="W27">
        <v>0</v>
      </c>
      <c r="X27">
        <v>0</v>
      </c>
      <c r="Z27">
        <v>0</v>
      </c>
      <c r="AA27">
        <v>0</v>
      </c>
    </row>
    <row r="28" spans="1:27" x14ac:dyDescent="0.25">
      <c r="A28" s="2" t="s">
        <v>12</v>
      </c>
      <c r="B28">
        <f>B23+1/B15*(B21/2+B22+((3*(B26*B24+B27*B25))/B15))</f>
        <v>1.1101979847384265</v>
      </c>
      <c r="C28">
        <f>C23+1/C15*(C21/2+C22+((3*(C26*C24+C27*C25))/C15))</f>
        <v>0.73262052600000005</v>
      </c>
      <c r="H28">
        <v>0</v>
      </c>
      <c r="I28">
        <f>J17+J19+J21</f>
        <v>9.5728168947214822</v>
      </c>
      <c r="K28">
        <v>0</v>
      </c>
      <c r="L28">
        <f>J21+J19</f>
        <v>8.4250720628190017</v>
      </c>
      <c r="N28">
        <f>B45</f>
        <v>0.59737946834176481</v>
      </c>
      <c r="O28">
        <f>J17+J18+J20</f>
        <v>20.285569178339578</v>
      </c>
      <c r="Q28">
        <v>0</v>
      </c>
      <c r="R28">
        <f>J19</f>
        <v>7.5920541053039461</v>
      </c>
      <c r="T28">
        <f>B61</f>
        <v>3.0849434512543583</v>
      </c>
      <c r="U28">
        <f>J19*B55</f>
        <v>5.4850807634652234</v>
      </c>
      <c r="W28">
        <f>B62</f>
        <v>3.9999999999999996</v>
      </c>
      <c r="X28">
        <f>K19*B56</f>
        <v>7.1120665258677001</v>
      </c>
      <c r="Z28">
        <v>0</v>
      </c>
      <c r="AA28">
        <f>K19+J17+J21</f>
        <v>11.824773514757693</v>
      </c>
    </row>
    <row r="29" spans="1:27" x14ac:dyDescent="0.25">
      <c r="A29" s="2" t="s">
        <v>55</v>
      </c>
      <c r="B29">
        <f>(B28+SQRT(B28^2-(B21^2)/(4*B15^2)-(B26*B24-B27*B25)/(B15^3)-(B26*B24-B27*B25)^2/B15^4))/(3*B17/2/B15^2)</f>
        <v>10.208235116727238</v>
      </c>
      <c r="C29">
        <f>(C28+SQRT(C28^2-(C21^2)/(4*C15^2)-(C26*C24-C27*C25)/(C15^3)-(C26*C24-C27*C25)^2/C15^4))/(3*C17/2/C15^2)</f>
        <v>4.3672891038109061</v>
      </c>
      <c r="H29">
        <f>B46</f>
        <v>77.123586281358953</v>
      </c>
      <c r="I29">
        <v>0</v>
      </c>
      <c r="K29">
        <f>B46</f>
        <v>77.123586281358953</v>
      </c>
      <c r="L29">
        <v>0</v>
      </c>
      <c r="Q29">
        <f>B46</f>
        <v>77.123586281358953</v>
      </c>
      <c r="R29">
        <v>0</v>
      </c>
      <c r="T29">
        <f>B72</f>
        <v>14.607684930590434</v>
      </c>
      <c r="U29">
        <f>J19*B55</f>
        <v>5.4850807634652234</v>
      </c>
      <c r="W29">
        <f>B73</f>
        <v>20.956427075140869</v>
      </c>
      <c r="X29">
        <f>K19*B56</f>
        <v>7.1120665258677001</v>
      </c>
      <c r="Z29">
        <f>B47</f>
        <v>99.999999999999986</v>
      </c>
      <c r="AA29">
        <v>0</v>
      </c>
    </row>
    <row r="30" spans="1:27" x14ac:dyDescent="0.25">
      <c r="A30" s="2" t="s">
        <v>13</v>
      </c>
      <c r="B30">
        <f>1/2+1/B17/B29*(B21*B15/6+(B26*B24-B27*B25))</f>
        <v>0.50587804839072292</v>
      </c>
      <c r="C30">
        <f>1/2+1/C17/C29*(C21*C15/6+(C26*C24-C27*C25))</f>
        <v>0.5933921058251207</v>
      </c>
      <c r="T30">
        <f>B66</f>
        <v>70.327664484713551</v>
      </c>
      <c r="U30">
        <v>0</v>
      </c>
      <c r="W30">
        <f>B67</f>
        <v>93.204078203354584</v>
      </c>
      <c r="X30">
        <v>0</v>
      </c>
    </row>
    <row r="31" spans="1:27" x14ac:dyDescent="0.25">
      <c r="A31" s="2" t="s">
        <v>14</v>
      </c>
      <c r="B31">
        <f>B30*B17</f>
        <v>733.5231701665482</v>
      </c>
      <c r="C31">
        <f>C30*C17</f>
        <v>1322.0776117783689</v>
      </c>
      <c r="H31" t="s">
        <v>65</v>
      </c>
      <c r="I31">
        <f>(I28-I29)/(H28-H29)</f>
        <v>-0.12412307772875529</v>
      </c>
      <c r="Q31" t="s">
        <v>65</v>
      </c>
      <c r="R31">
        <f>(R28-R29)/(Q28-Q29)</f>
        <v>-9.8440107253401576E-2</v>
      </c>
      <c r="T31" t="s">
        <v>65</v>
      </c>
      <c r="U31">
        <f>(U29-U30)/(T29-T30)</f>
        <v>-9.844010725340159E-2</v>
      </c>
      <c r="W31" t="s">
        <v>65</v>
      </c>
      <c r="X31">
        <f>(X29-X30)/(W29-W30)</f>
        <v>-9.8440107253401604E-2</v>
      </c>
      <c r="Z31" t="s">
        <v>65</v>
      </c>
      <c r="AA31">
        <f>(AA28-AA29)/(Z28-Z29)</f>
        <v>-0.11824773514757694</v>
      </c>
    </row>
    <row r="32" spans="1:27" x14ac:dyDescent="0.25">
      <c r="A32" s="2" t="s">
        <v>30</v>
      </c>
      <c r="B32">
        <f>B17-B31</f>
        <v>716.4768298334518</v>
      </c>
      <c r="C32">
        <f t="shared" ref="C32" si="2">C17-C31</f>
        <v>905.92238822163108</v>
      </c>
    </row>
    <row r="33" spans="1:24" x14ac:dyDescent="0.25">
      <c r="A33" s="2" t="s">
        <v>15</v>
      </c>
      <c r="B33">
        <v>0</v>
      </c>
      <c r="C33">
        <v>0</v>
      </c>
    </row>
    <row r="34" spans="1:24" x14ac:dyDescent="0.25">
      <c r="A34" s="2" t="s">
        <v>56</v>
      </c>
      <c r="B34">
        <f>2/B31*(B21+B22)*B15+B22/(B17-B31)*(B15+2*B33)</f>
        <v>5.7428548451618351</v>
      </c>
      <c r="C34">
        <f t="shared" ref="C34" si="3">2/C31*(C21+C22)*C15+C22/(C17-C31)*(C15+2*C33)</f>
        <v>0.6447507411107245</v>
      </c>
      <c r="X34" t="s">
        <v>84</v>
      </c>
    </row>
    <row r="35" spans="1:24" x14ac:dyDescent="0.25">
      <c r="A35" s="2" t="s">
        <v>67</v>
      </c>
      <c r="B35">
        <v>50</v>
      </c>
      <c r="C35">
        <v>0</v>
      </c>
      <c r="W35">
        <f>T27</f>
        <v>0</v>
      </c>
      <c r="X35">
        <f>U27</f>
        <v>0</v>
      </c>
    </row>
    <row r="36" spans="1:24" x14ac:dyDescent="0.25">
      <c r="A36" s="2" t="s">
        <v>66</v>
      </c>
      <c r="B36">
        <f>2/B31*(B21+B22)*B15+B22/(B17-B31)*(B15+2*B35)</f>
        <v>7.4463016076703159</v>
      </c>
      <c r="W36">
        <f t="shared" ref="W36:X36" si="4">T28</f>
        <v>3.0849434512543583</v>
      </c>
      <c r="X36">
        <f t="shared" si="4"/>
        <v>5.4850807634652234</v>
      </c>
    </row>
    <row r="37" spans="1:24" x14ac:dyDescent="0.25">
      <c r="A37" s="2" t="s">
        <v>16</v>
      </c>
      <c r="B37">
        <v>3000</v>
      </c>
      <c r="C37">
        <v>3000</v>
      </c>
      <c r="W37">
        <f>W29</f>
        <v>20.956427075140869</v>
      </c>
      <c r="X37">
        <f>X29</f>
        <v>7.1120665258677001</v>
      </c>
    </row>
    <row r="38" spans="1:24" x14ac:dyDescent="0.25">
      <c r="A38" s="2" t="s">
        <v>17</v>
      </c>
      <c r="B38">
        <v>100</v>
      </c>
      <c r="C38">
        <v>100</v>
      </c>
      <c r="W38">
        <f>W30</f>
        <v>93.204078203354584</v>
      </c>
      <c r="X38">
        <f>X30</f>
        <v>0</v>
      </c>
    </row>
    <row r="39" spans="1:24" x14ac:dyDescent="0.25">
      <c r="A39" s="2" t="s">
        <v>46</v>
      </c>
      <c r="B39">
        <f>B37*$C$1</f>
        <v>24000</v>
      </c>
      <c r="C39">
        <f>C37*$C$1</f>
        <v>24000</v>
      </c>
    </row>
    <row r="40" spans="1:24" x14ac:dyDescent="0.25">
      <c r="A40" s="2" t="s">
        <v>47</v>
      </c>
      <c r="B40">
        <f>B38*$C$1</f>
        <v>800</v>
      </c>
      <c r="C40">
        <f>C38*$C$1</f>
        <v>800</v>
      </c>
    </row>
    <row r="41" spans="1:24" x14ac:dyDescent="0.25">
      <c r="A41" s="2" t="s">
        <v>48</v>
      </c>
      <c r="B41">
        <f>((2*B40*B15*B17/B31/B32)+(2*B39*B17/B31/B32))*2</f>
        <v>1147.7448319024797</v>
      </c>
      <c r="C41">
        <f t="shared" ref="C41" si="5">2*C40*C15*C17/C31/(C17-C31)+2*C39*C17/C31/(C17-C31)</f>
        <v>386.92837370426605</v>
      </c>
    </row>
    <row r="42" spans="1:24" x14ac:dyDescent="0.25">
      <c r="A42" s="2" t="s">
        <v>24</v>
      </c>
      <c r="B42">
        <v>2</v>
      </c>
      <c r="C42">
        <v>4</v>
      </c>
    </row>
    <row r="43" spans="1:24" x14ac:dyDescent="0.25">
      <c r="A43" s="2" t="s">
        <v>25</v>
      </c>
      <c r="B43" s="4">
        <v>3256</v>
      </c>
      <c r="C43">
        <v>5760</v>
      </c>
      <c r="E43" t="s">
        <v>85</v>
      </c>
    </row>
    <row r="44" spans="1:24" x14ac:dyDescent="0.25">
      <c r="A44" s="2" t="s">
        <v>64</v>
      </c>
      <c r="B44">
        <f>B15^3/12</f>
        <v>83333.333333333328</v>
      </c>
      <c r="C44">
        <f t="shared" ref="C44" si="6">C15^3/12</f>
        <v>83333.333333333328</v>
      </c>
    </row>
    <row r="45" spans="1:24" x14ac:dyDescent="0.25">
      <c r="A45" s="2" t="s">
        <v>26</v>
      </c>
      <c r="B45">
        <f>B42*B29*B17^3/384/B43/B44</f>
        <v>0.59737946834176481</v>
      </c>
      <c r="C45">
        <f>C42*C29*C17^3/384/C43/C44</f>
        <v>1.0482021138648669</v>
      </c>
    </row>
    <row r="46" spans="1:24" x14ac:dyDescent="0.25">
      <c r="A46" s="2" t="s">
        <v>27</v>
      </c>
      <c r="B46">
        <f>(2/B31*(B21+B22)*B15+B22*(B15+2*B33)/(B17-B31))/(2/B31*(B21+B22)+2*B22/(B17-B31))</f>
        <v>77.123586281358953</v>
      </c>
      <c r="C46">
        <f t="shared" ref="C46" si="7">(2/C31*(C21+C22)*C15+C22*(C15+2*C33)/(C17-C31))/(2/C31*(C21+C22)+2*C22/(C17-C31))</f>
        <v>100</v>
      </c>
    </row>
    <row r="47" spans="1:24" x14ac:dyDescent="0.25">
      <c r="A47" s="2" t="s">
        <v>68</v>
      </c>
      <c r="B47">
        <f>(2/B31*(B21+B22)*B15+B22*(B15+2*B35)/(B17-B31))/(2/B31*(B21+B22)+2*B22/(B17-B31))</f>
        <v>99.999999999999986</v>
      </c>
    </row>
    <row r="48" spans="1:24" x14ac:dyDescent="0.25">
      <c r="A48" s="2" t="s">
        <v>28</v>
      </c>
      <c r="B48">
        <f>I28/B46</f>
        <v>0.12412307772875529</v>
      </c>
      <c r="C48">
        <f>C34/C46</f>
        <v>6.4475074111072454E-3</v>
      </c>
    </row>
    <row r="49" spans="1:5" x14ac:dyDescent="0.25">
      <c r="A49" s="2" t="s">
        <v>69</v>
      </c>
      <c r="B49">
        <f>AA28/B47</f>
        <v>0.11824773514757694</v>
      </c>
    </row>
    <row r="50" spans="1:5" x14ac:dyDescent="0.25">
      <c r="A50" s="2" t="s">
        <v>29</v>
      </c>
      <c r="B50">
        <f>ASIN((B15/2)/(B31/2))</f>
        <v>0.1367542031418689</v>
      </c>
      <c r="C50">
        <f>ASIN(C15/2/C31*2)*PI()/180</f>
        <v>1.3214033437595049E-3</v>
      </c>
    </row>
    <row r="51" spans="1:5" x14ac:dyDescent="0.25">
      <c r="A51" s="2" t="s">
        <v>31</v>
      </c>
      <c r="B51">
        <f>ASIN((B15/2)/(B32/2))</f>
        <v>0.14002902410121029</v>
      </c>
      <c r="C51">
        <f>ASIN((C15/2)/(C32/2))</f>
        <v>0.11061013921522775</v>
      </c>
    </row>
    <row r="52" spans="1:5" x14ac:dyDescent="0.25">
      <c r="A52" s="2" t="s">
        <v>63</v>
      </c>
      <c r="B52">
        <f>(1-0.009*B60)</f>
        <v>0.2775234887178627</v>
      </c>
      <c r="C52">
        <f>(1-0.009*C60)</f>
        <v>0.25779070407239824</v>
      </c>
    </row>
    <row r="53" spans="1:5" x14ac:dyDescent="0.25">
      <c r="A53" s="2" t="s">
        <v>34</v>
      </c>
      <c r="B53">
        <f>(B46-B52*B46)*B48</f>
        <v>6.9161353532410796</v>
      </c>
      <c r="C53">
        <f t="shared" ref="C53" si="8">(C46-C52*C46)*C48</f>
        <v>0.47853999360859029</v>
      </c>
    </row>
    <row r="54" spans="1:5" x14ac:dyDescent="0.25">
      <c r="A54" s="2" t="s">
        <v>72</v>
      </c>
      <c r="B54">
        <f>(B47-B52*B47)*B49</f>
        <v>8.5431211156435545</v>
      </c>
    </row>
    <row r="55" spans="1:5" x14ac:dyDescent="0.25">
      <c r="A55" s="2" t="s">
        <v>35</v>
      </c>
      <c r="B55">
        <f>(B53)/I28</f>
        <v>0.7224765112821373</v>
      </c>
      <c r="C55">
        <f t="shared" ref="C55" si="9">C53/C34</f>
        <v>0.74220929592760176</v>
      </c>
    </row>
    <row r="56" spans="1:5" x14ac:dyDescent="0.25">
      <c r="A56" s="2" t="s">
        <v>73</v>
      </c>
      <c r="B56">
        <f>(B54)/AA28</f>
        <v>0.7224765112821373</v>
      </c>
    </row>
    <row r="57" spans="1:5" x14ac:dyDescent="0.25">
      <c r="A57" s="2" t="s">
        <v>62</v>
      </c>
      <c r="B57">
        <v>0.04</v>
      </c>
      <c r="C57">
        <v>0.04</v>
      </c>
    </row>
    <row r="58" spans="1:5" x14ac:dyDescent="0.25">
      <c r="A58" s="2" t="s">
        <v>38</v>
      </c>
      <c r="B58">
        <f>B22/B21</f>
        <v>4.6758184178030833</v>
      </c>
      <c r="C58">
        <f>C22/C21</f>
        <v>0</v>
      </c>
      <c r="E58" s="11" t="s">
        <v>40</v>
      </c>
    </row>
    <row r="59" spans="1:5" x14ac:dyDescent="0.25">
      <c r="A59" s="2" t="s">
        <v>39</v>
      </c>
      <c r="B59">
        <v>4.42</v>
      </c>
      <c r="C59">
        <v>4.42</v>
      </c>
      <c r="E59" s="11"/>
    </row>
    <row r="60" spans="1:5" x14ac:dyDescent="0.25">
      <c r="A60" s="2" t="s">
        <v>37</v>
      </c>
      <c r="B60">
        <f>83-0.0016*B17/B59*((B58^2+B58+0.33)/(B58+0.5))*B15/B15</f>
        <v>80.275167920237479</v>
      </c>
      <c r="C60">
        <f>83-0.0016*C17/C59*((C58^2+C58+0.33)/(C58+0.5))*C15/C15</f>
        <v>82.467699547511316</v>
      </c>
      <c r="E60" s="11"/>
    </row>
    <row r="61" spans="1:5" x14ac:dyDescent="0.25">
      <c r="A61" s="2" t="s">
        <v>32</v>
      </c>
      <c r="B61">
        <f>B57*B46</f>
        <v>3.0849434512543583</v>
      </c>
      <c r="C61">
        <f>C57*C46</f>
        <v>4</v>
      </c>
      <c r="E61" s="11"/>
    </row>
    <row r="62" spans="1:5" x14ac:dyDescent="0.25">
      <c r="A62" s="2" t="s">
        <v>74</v>
      </c>
      <c r="B62">
        <f>B57*B47</f>
        <v>3.9999999999999996</v>
      </c>
      <c r="E62" s="11"/>
    </row>
    <row r="63" spans="1:5" x14ac:dyDescent="0.25">
      <c r="A63" s="2" t="s">
        <v>33</v>
      </c>
      <c r="B63">
        <f>B52*B46</f>
        <v>21.403606727235832</v>
      </c>
      <c r="C63">
        <f>C52*C46</f>
        <v>25.779070407239825</v>
      </c>
      <c r="E63" s="11"/>
    </row>
    <row r="64" spans="1:5" x14ac:dyDescent="0.25">
      <c r="A64" s="2" t="s">
        <v>75</v>
      </c>
      <c r="B64">
        <f>B52*B47</f>
        <v>27.752348871786268</v>
      </c>
      <c r="E64" s="3"/>
    </row>
    <row r="65" spans="1:3" x14ac:dyDescent="0.25">
      <c r="A65" s="2" t="s">
        <v>49</v>
      </c>
      <c r="B65">
        <v>5</v>
      </c>
      <c r="C65">
        <v>5</v>
      </c>
    </row>
    <row r="66" spans="1:3" x14ac:dyDescent="0.25">
      <c r="A66" s="2" t="s">
        <v>50</v>
      </c>
      <c r="B66">
        <f>B46-B65-0.5*((B21*(1-B30)+B22)/(0.85*B59))</f>
        <v>70.327664484713551</v>
      </c>
      <c r="C66">
        <f t="shared" ref="C66" si="10">C46-C65-0.5*((C21*(1-C30)+C22)/(0.85*C59))</f>
        <v>94.769365952548767</v>
      </c>
    </row>
    <row r="67" spans="1:3" x14ac:dyDescent="0.25">
      <c r="A67" s="2" t="s">
        <v>76</v>
      </c>
      <c r="B67">
        <f>B47-B65-0.5*((B21*(1-B30)+B22)/(0.85*B59))</f>
        <v>93.204078203354584</v>
      </c>
    </row>
    <row r="68" spans="1:3" x14ac:dyDescent="0.25">
      <c r="A68" s="2" t="s">
        <v>61</v>
      </c>
      <c r="B68">
        <f>B66/B46</f>
        <v>0.91188270509292957</v>
      </c>
      <c r="C68">
        <f t="shared" ref="C68" si="11">C66/C46</f>
        <v>0.94769365952548767</v>
      </c>
    </row>
    <row r="69" spans="1:3" x14ac:dyDescent="0.25">
      <c r="A69" s="2" t="s">
        <v>77</v>
      </c>
      <c r="B69">
        <f>B67/B47</f>
        <v>0.93204078203354601</v>
      </c>
    </row>
    <row r="70" spans="1:3" x14ac:dyDescent="0.25">
      <c r="A70" s="2" t="s">
        <v>63</v>
      </c>
      <c r="B70">
        <f>(B68-B55)</f>
        <v>0.18940619381079227</v>
      </c>
      <c r="C70">
        <f t="shared" ref="C70" si="12">(C68-C55)</f>
        <v>0.20548436359788591</v>
      </c>
    </row>
    <row r="71" spans="1:3" x14ac:dyDescent="0.25">
      <c r="A71" s="2" t="s">
        <v>78</v>
      </c>
      <c r="B71">
        <f>(B69-B56)</f>
        <v>0.20956427075140871</v>
      </c>
    </row>
    <row r="72" spans="1:3" x14ac:dyDescent="0.25">
      <c r="A72" s="2" t="s">
        <v>33</v>
      </c>
      <c r="B72">
        <f>B70*B46</f>
        <v>14.607684930590434</v>
      </c>
      <c r="C72">
        <f t="shared" ref="C72" si="13">C70*C46</f>
        <v>20.548436359788592</v>
      </c>
    </row>
    <row r="73" spans="1:3" x14ac:dyDescent="0.25">
      <c r="A73" s="2" t="s">
        <v>75</v>
      </c>
      <c r="B73">
        <f>B71*B47</f>
        <v>20.956427075140869</v>
      </c>
    </row>
  </sheetData>
  <mergeCells count="2">
    <mergeCell ref="G13:O13"/>
    <mergeCell ref="E58:E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SafeGo_Model_v1</vt:lpstr>
      <vt:lpstr>check_later_nederboom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 O, Onur</dc:creator>
  <cp:lastModifiedBy>Arslan O, Onur</cp:lastModifiedBy>
  <dcterms:created xsi:type="dcterms:W3CDTF">2021-11-30T18:29:33Z</dcterms:created>
  <dcterms:modified xsi:type="dcterms:W3CDTF">2026-05-13T20:17:21Z</dcterms:modified>
</cp:coreProperties>
</file>